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CALIBRATION STATUS:</t>
        </is>
      </c>
    </row>
    <row r="37">
      <c r="A37" s="2" t="inlineStr">
        <is>
          <t xml:space="preserve">  Every anchor on the Roles sheet is a documented starting point, not a fitted value. Fit them</t>
        </is>
      </c>
    </row>
    <row r="38">
      <c r="A38" s="2" t="inlineStr">
        <is>
          <t xml:space="preserve">  from history (group real player-seasons by observed role) before trusting the levels. The</t>
        </is>
      </c>
    </row>
    <row r="39">
      <c r="A39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0.01</v>
      </c>
      <c r="R5" s="8" t="n">
        <v>0</v>
      </c>
      <c r="S5" s="8" t="n">
        <v>0.65</v>
      </c>
      <c r="T5" s="8" t="n">
        <v>0.12</v>
      </c>
      <c r="U5" s="8" t="n">
        <v>0.04</v>
      </c>
      <c r="V5" s="8" t="n">
        <v>0.01</v>
      </c>
      <c r="W5" s="8" t="n">
        <v>0.02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0.01</v>
      </c>
      <c r="P6" s="8" t="n">
        <v>0</v>
      </c>
      <c r="Q6" s="8" t="n">
        <v>0.04</v>
      </c>
      <c r="R6" s="8" t="n">
        <v>0.03</v>
      </c>
      <c r="S6" s="8" t="n">
        <v>0.05</v>
      </c>
      <c r="T6" s="8" t="n">
        <v>0.28</v>
      </c>
      <c r="U6" s="8" t="n">
        <v>0.14</v>
      </c>
      <c r="V6" s="8" t="n">
        <v>0.05</v>
      </c>
      <c r="W6" s="8" t="n">
        <v>0.03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</f>
        <v/>
      </c>
      <c r="AD7" s="15">
        <f>SUMPRODUCT(M7:X7,$M$6:$X$6)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110</v>
      </c>
      <c r="H8" s="9" t="n">
        <v>732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</f>
        <v/>
      </c>
      <c r="AD8" s="15">
        <f>SUMPRODUCT(M8:X8,$M$6:$X$6)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33</v>
      </c>
      <c r="H9" s="9" t="n">
        <v>742</v>
      </c>
      <c r="I9" s="9" t="inlineStr">
        <is>
          <t>Closer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</f>
        <v/>
      </c>
      <c r="AD9" s="15">
        <f>SUMPRODUCT(M9:X9,$M$6:$X$6)</f>
        <v/>
      </c>
      <c r="AE9" s="19" t="n"/>
    </row>
    <row r="10">
      <c r="A10" s="9" t="n">
        <v>642207</v>
      </c>
      <c r="B10" s="9" t="inlineStr">
        <is>
          <t>Devin Williams</t>
        </is>
      </c>
      <c r="C10" s="9" t="inlineStr">
        <is>
          <t>NYM</t>
        </is>
      </c>
      <c r="D10" s="9" t="n">
        <v>32</v>
      </c>
      <c r="E10" s="17" t="inlineStr">
        <is>
          <t>R</t>
        </is>
      </c>
      <c r="F10" s="17" t="n"/>
      <c r="G10" s="9" t="n">
        <v>94</v>
      </c>
      <c r="H10" s="9" t="n">
        <v>912</v>
      </c>
      <c r="I10" s="9" t="inlineStr">
        <is>
          <t>Closer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</f>
        <v/>
      </c>
      <c r="AD10" s="15">
        <f>SUMPRODUCT(M10:X10,$M$6:$X$6)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142</v>
      </c>
      <c r="H11" s="9" t="n">
        <v>632</v>
      </c>
      <c r="I11" s="9" t="inlineStr">
        <is>
          <t>Closer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</f>
        <v/>
      </c>
      <c r="AD11" s="15">
        <f>SUMPRODUCT(M11:X11,$M$6:$X$6)</f>
        <v/>
      </c>
      <c r="AE11" s="19" t="n"/>
    </row>
    <row r="12">
      <c r="A12" s="9" t="n">
        <v>547973</v>
      </c>
      <c r="B12" s="9" t="inlineStr">
        <is>
          <t>Aroldis Chapman</t>
        </is>
      </c>
      <c r="C12" s="9" t="inlineStr">
        <is>
          <t>BOS</t>
        </is>
      </c>
      <c r="D12" s="9" t="n">
        <v>39</v>
      </c>
      <c r="E12" s="17" t="inlineStr">
        <is>
          <t>L</t>
        </is>
      </c>
      <c r="F12" s="17" t="n"/>
      <c r="G12" s="9" t="n">
        <v>77</v>
      </c>
      <c r="H12" s="9" t="n">
        <v>979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</f>
        <v/>
      </c>
      <c r="AD12" s="15">
        <f>SUMPRODUCT(M12:X12,$M$6:$X$6)</f>
        <v/>
      </c>
      <c r="AE12" s="19" t="n"/>
    </row>
    <row r="13">
      <c r="A13" s="9" t="n">
        <v>518585</v>
      </c>
      <c r="B13" s="9" t="inlineStr">
        <is>
          <t>Fernando Cruz</t>
        </is>
      </c>
      <c r="C13" s="9" t="inlineStr">
        <is>
          <t>NYY</t>
        </is>
      </c>
      <c r="D13" s="9" t="n">
        <v>37</v>
      </c>
      <c r="E13" s="17" t="inlineStr">
        <is>
          <t>R</t>
        </is>
      </c>
      <c r="F13" s="17" t="n"/>
      <c r="G13" s="9" t="n">
        <v>120</v>
      </c>
      <c r="H13" s="9" t="n">
        <v>951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</f>
        <v/>
      </c>
      <c r="AD13" s="15">
        <f>SUMPRODUCT(M13:X13,$M$6:$X$6)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120</v>
      </c>
      <c r="H14" s="9" t="n">
        <v>709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</f>
        <v/>
      </c>
      <c r="AD14" s="15">
        <f>SUMPRODUCT(M14:X14,$M$6:$X$6)</f>
        <v/>
      </c>
      <c r="AE14" s="19" t="n"/>
    </row>
    <row r="15">
      <c r="A15" s="9" t="n">
        <v>681870</v>
      </c>
      <c r="B15" s="9" t="inlineStr">
        <is>
          <t>Erik Sabrowski</t>
        </is>
      </c>
      <c r="C15" s="9" t="inlineStr">
        <is>
          <t>CLE</t>
        </is>
      </c>
      <c r="D15" s="9" t="n">
        <v>29</v>
      </c>
      <c r="E15" s="17" t="inlineStr">
        <is>
          <t>L</t>
        </is>
      </c>
      <c r="F15" s="17" t="n"/>
      <c r="G15" s="9" t="n">
        <v>83</v>
      </c>
      <c r="H15" s="9" t="n">
        <v>251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</f>
        <v/>
      </c>
      <c r="AD15" s="15">
        <f>SUMPRODUCT(M15:X15,$M$6:$X$6)</f>
        <v/>
      </c>
      <c r="AE15" s="19" t="n"/>
    </row>
    <row r="16">
      <c r="A16" s="9" t="n">
        <v>694819</v>
      </c>
      <c r="B16" s="9" t="inlineStr">
        <is>
          <t>Jacob Misiorowski</t>
        </is>
      </c>
      <c r="C16" s="9" t="inlineStr">
        <is>
          <t>MIL</t>
        </is>
      </c>
      <c r="D16" s="9" t="n">
        <v>25</v>
      </c>
      <c r="E16" s="17" t="inlineStr">
        <is>
          <t>R</t>
        </is>
      </c>
      <c r="F16" s="17" t="n"/>
      <c r="G16" s="9" t="n">
        <v>302</v>
      </c>
      <c r="H16" s="9" t="n">
        <v>575</v>
      </c>
      <c r="I16" s="9" t="inlineStr">
        <is>
          <t>Mid-Rotation Starter (SP2-3)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</f>
        <v/>
      </c>
      <c r="AD16" s="15">
        <f>SUMPRODUCT(M16:X16,$M$6:$X$6)</f>
        <v/>
      </c>
      <c r="AE16" s="19" t="n"/>
    </row>
    <row r="17">
      <c r="A17" s="9" t="n">
        <v>650556</v>
      </c>
      <c r="B17" s="9" t="inlineStr">
        <is>
          <t>Bryan Abreu</t>
        </is>
      </c>
      <c r="C17" s="9" t="inlineStr">
        <is>
          <t>HOU</t>
        </is>
      </c>
      <c r="D17" s="9" t="n">
        <v>30</v>
      </c>
      <c r="E17" s="17" t="inlineStr">
        <is>
          <t>R</t>
        </is>
      </c>
      <c r="F17" s="17" t="n"/>
      <c r="G17" s="9" t="n">
        <v>108</v>
      </c>
      <c r="H17" s="9" t="n">
        <v>1264</v>
      </c>
      <c r="I17" s="9" t="inlineStr">
        <is>
          <t>Late Inning RP (Setup)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</f>
        <v/>
      </c>
      <c r="AD17" s="15">
        <f>SUMPRODUCT(M17:X17,$M$6:$X$6)</f>
        <v/>
      </c>
      <c r="AE17" s="19" t="n"/>
    </row>
    <row r="18">
      <c r="A18" s="9" t="n">
        <v>662253</v>
      </c>
      <c r="B18" s="9" t="inlineStr">
        <is>
          <t>Andrés Muñoz</t>
        </is>
      </c>
      <c r="C18" s="9" t="inlineStr">
        <is>
          <t>SEA</t>
        </is>
      </c>
      <c r="D18" s="9" t="n">
        <v>28</v>
      </c>
      <c r="E18" s="17" t="inlineStr">
        <is>
          <t>R</t>
        </is>
      </c>
      <c r="F18" s="17" t="n"/>
      <c r="G18" s="9" t="n">
        <v>108</v>
      </c>
      <c r="H18" s="9" t="n">
        <v>1053</v>
      </c>
      <c r="I18" s="9" t="inlineStr">
        <is>
          <t>Closer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</f>
        <v/>
      </c>
      <c r="AD18" s="15">
        <f>SUMPRODUCT(M18:X18,$M$6:$X$6)</f>
        <v/>
      </c>
      <c r="AE18" s="19" t="n"/>
    </row>
    <row r="19">
      <c r="A19" s="9" t="n">
        <v>669093</v>
      </c>
      <c r="B19" s="9" t="inlineStr">
        <is>
          <t>Jeremiah Estrada</t>
        </is>
      </c>
      <c r="C19" s="9" t="inlineStr">
        <is>
          <t>SD</t>
        </is>
      </c>
      <c r="D19" s="9" t="n">
        <v>28</v>
      </c>
      <c r="E19" s="17" t="inlineStr">
        <is>
          <t>R</t>
        </is>
      </c>
      <c r="F19" s="17" t="n"/>
      <c r="G19" s="9" t="n">
        <v>82</v>
      </c>
      <c r="H19" s="9" t="n">
        <v>719</v>
      </c>
      <c r="I19" s="9" t="inlineStr">
        <is>
          <t>Late Inning RP (Setup)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</f>
        <v/>
      </c>
      <c r="AD19" s="15">
        <f>SUMPRODUCT(M19:X19,$M$6:$X$6)</f>
        <v/>
      </c>
      <c r="AE19" s="19" t="n"/>
    </row>
    <row r="20">
      <c r="A20" s="9" t="n">
        <v>681911</v>
      </c>
      <c r="B20" s="9" t="inlineStr">
        <is>
          <t>Alex Vesia</t>
        </is>
      </c>
      <c r="C20" s="9" t="inlineStr">
        <is>
          <t>LAD</t>
        </is>
      </c>
      <c r="D20" s="9" t="n">
        <v>31</v>
      </c>
      <c r="E20" s="17" t="inlineStr">
        <is>
          <t>L</t>
        </is>
      </c>
      <c r="F20" s="17" t="n"/>
      <c r="G20" s="9" t="n">
        <v>88</v>
      </c>
      <c r="H20" s="9" t="n">
        <v>1032</v>
      </c>
      <c r="I20" s="9" t="inlineStr">
        <is>
          <t>Late Inning RP (Setup)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</f>
        <v/>
      </c>
      <c r="AD20" s="15">
        <f>SUMPRODUCT(M20:X20,$M$6:$X$6)</f>
        <v/>
      </c>
      <c r="AE20" s="19" t="n"/>
    </row>
    <row r="21">
      <c r="A21" s="9" t="n">
        <v>675911</v>
      </c>
      <c r="B21" s="9" t="inlineStr">
        <is>
          <t>Spencer Strider</t>
        </is>
      </c>
      <c r="C21" s="9" t="inlineStr">
        <is>
          <t>ATL</t>
        </is>
      </c>
      <c r="D21" s="9" t="n">
        <v>28</v>
      </c>
      <c r="E21" s="17" t="inlineStr">
        <is>
          <t>R</t>
        </is>
      </c>
      <c r="F21" s="17" t="n"/>
      <c r="G21" s="9" t="n">
        <v>148</v>
      </c>
      <c r="H21" s="9" t="n">
        <v>2020</v>
      </c>
      <c r="I21" s="9" t="inlineStr">
        <is>
          <t>Mid-Rotation Starter (SP2-3)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</f>
        <v/>
      </c>
      <c r="AD21" s="15">
        <f>SUMPRODUCT(M21:X21,$M$6:$X$6)</f>
        <v/>
      </c>
      <c r="AE21" s="19" t="n"/>
    </row>
    <row r="22">
      <c r="A22" s="9" t="n">
        <v>676979</v>
      </c>
      <c r="B22" s="9" t="inlineStr">
        <is>
          <t>Garrett Crochet</t>
        </is>
      </c>
      <c r="C22" s="9" t="inlineStr">
        <is>
          <t>BOS</t>
        </is>
      </c>
      <c r="D22" s="9" t="n">
        <v>28</v>
      </c>
      <c r="E22" s="17" t="inlineStr">
        <is>
          <t>L</t>
        </is>
      </c>
      <c r="F22" s="17" t="n"/>
      <c r="G22" s="9" t="n">
        <v>138</v>
      </c>
      <c r="H22" s="9" t="n">
        <v>1611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</f>
        <v/>
      </c>
      <c r="AD22" s="15">
        <f>SUMPRODUCT(M22:X22,$M$6:$X$6)</f>
        <v/>
      </c>
      <c r="AE22" s="19" t="n"/>
    </row>
    <row r="23">
      <c r="A23" s="9" t="n">
        <v>607192</v>
      </c>
      <c r="B23" s="9" t="inlineStr">
        <is>
          <t>Tyler Glasnow</t>
        </is>
      </c>
      <c r="C23" s="9" t="inlineStr">
        <is>
          <t>LAD</t>
        </is>
      </c>
      <c r="D23" s="9" t="n">
        <v>33</v>
      </c>
      <c r="E23" s="17" t="inlineStr">
        <is>
          <t>R</t>
        </is>
      </c>
      <c r="F23" s="17" t="n"/>
      <c r="G23" s="9" t="n">
        <v>148</v>
      </c>
      <c r="H23" s="9" t="n">
        <v>1547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</f>
        <v/>
      </c>
      <c r="AD23" s="15">
        <f>SUMPRODUCT(M23:X23,$M$6:$X$6)</f>
        <v/>
      </c>
      <c r="AE23" s="19" t="n"/>
    </row>
    <row r="24">
      <c r="A24" s="9" t="n">
        <v>691799</v>
      </c>
      <c r="B24" s="9" t="inlineStr">
        <is>
          <t>Grant Taylor</t>
        </is>
      </c>
      <c r="C24" s="9" t="inlineStr">
        <is>
          <t>CWS</t>
        </is>
      </c>
      <c r="D24" s="9" t="n">
        <v>25</v>
      </c>
      <c r="E24" s="17" t="inlineStr">
        <is>
          <t>R</t>
        </is>
      </c>
      <c r="F24" s="17" t="n"/>
      <c r="G24" s="9" t="n">
        <v>140</v>
      </c>
      <c r="H24" s="9" t="n">
        <v>297</v>
      </c>
      <c r="I24" s="9" t="inlineStr">
        <is>
          <t>Closer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</f>
        <v/>
      </c>
      <c r="AD24" s="15">
        <f>SUMPRODUCT(M24:X24,$M$6:$X$6)</f>
        <v/>
      </c>
      <c r="AE24" s="19" t="n"/>
    </row>
    <row r="25">
      <c r="A25" s="9" t="n">
        <v>660271</v>
      </c>
      <c r="B25" s="9" t="inlineStr">
        <is>
          <t>Shohei Ohtani</t>
        </is>
      </c>
      <c r="C25" s="9" t="inlineStr">
        <is>
          <t>LAD</t>
        </is>
      </c>
      <c r="D25" s="9" t="n">
        <v>32</v>
      </c>
      <c r="E25" s="17" t="inlineStr">
        <is>
          <t>R</t>
        </is>
      </c>
      <c r="F25" s="17" t="n"/>
      <c r="G25" s="9" t="n">
        <v>233</v>
      </c>
      <c r="H25" s="9" t="n">
        <v>1612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</f>
        <v/>
      </c>
      <c r="AD25" s="15">
        <f>SUMPRODUCT(M25:X25,$M$6:$X$6)</f>
        <v/>
      </c>
      <c r="AE25" s="19" t="n"/>
    </row>
    <row r="26">
      <c r="A26" s="9" t="n">
        <v>519242</v>
      </c>
      <c r="B26" s="9" t="inlineStr">
        <is>
          <t>Chris Sale</t>
        </is>
      </c>
      <c r="C26" s="9" t="inlineStr">
        <is>
          <t>ATL</t>
        </is>
      </c>
      <c r="D26" s="9" t="n">
        <v>38</v>
      </c>
      <c r="E26" s="17" t="inlineStr">
        <is>
          <t>L</t>
        </is>
      </c>
      <c r="F26" s="17" t="n"/>
      <c r="G26" s="9" t="n">
        <v>294</v>
      </c>
      <c r="H26" s="9" t="n">
        <v>1956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</f>
        <v/>
      </c>
      <c r="AD26" s="15">
        <f>SUMPRODUCT(M26:X26,$M$6:$X$6)</f>
        <v/>
      </c>
      <c r="AE26" s="19" t="n"/>
    </row>
    <row r="27">
      <c r="A27" s="9" t="n">
        <v>656546</v>
      </c>
      <c r="B27" s="9" t="inlineStr">
        <is>
          <t>Jeff Hoffman</t>
        </is>
      </c>
      <c r="C27" s="9" t="inlineStr">
        <is>
          <t>TOR</t>
        </is>
      </c>
      <c r="D27" s="9" t="n">
        <v>34</v>
      </c>
      <c r="E27" s="17" t="inlineStr">
        <is>
          <t>R</t>
        </is>
      </c>
      <c r="F27" s="17" t="n"/>
      <c r="G27" s="9" t="n">
        <v>133</v>
      </c>
      <c r="H27" s="9" t="n">
        <v>1090</v>
      </c>
      <c r="I27" s="9" t="inlineStr">
        <is>
          <t>Late Inning RP (Setup)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</f>
        <v/>
      </c>
      <c r="AD27" s="15">
        <f>SUMPRODUCT(M27:X27,$M$6:$X$6)</f>
        <v/>
      </c>
      <c r="AE27" s="19" t="n"/>
    </row>
    <row r="28">
      <c r="A28" s="9" t="n">
        <v>661395</v>
      </c>
      <c r="B28" s="9" t="inlineStr">
        <is>
          <t>Jhoan Duran</t>
        </is>
      </c>
      <c r="C28" s="9" t="inlineStr">
        <is>
          <t>PHI</t>
        </is>
      </c>
      <c r="D28" s="9" t="n">
        <v>29</v>
      </c>
      <c r="E28" s="17" t="inlineStr">
        <is>
          <t>R</t>
        </is>
      </c>
      <c r="F28" s="17" t="n"/>
      <c r="G28" s="9" t="n">
        <v>84</v>
      </c>
      <c r="H28" s="9" t="n">
        <v>1120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</f>
        <v/>
      </c>
      <c r="AD28" s="15">
        <f>SUMPRODUCT(M28:X28,$M$6:$X$6)</f>
        <v/>
      </c>
      <c r="AE28" s="19" t="n"/>
    </row>
    <row r="29">
      <c r="A29" s="9" t="n">
        <v>594798</v>
      </c>
      <c r="B29" s="9" t="inlineStr">
        <is>
          <t>Jacob deGrom</t>
        </is>
      </c>
      <c r="C29" s="9" t="inlineStr">
        <is>
          <t>TEX</t>
        </is>
      </c>
      <c r="D29" s="9" t="n">
        <v>39</v>
      </c>
      <c r="E29" s="17" t="inlineStr">
        <is>
          <t>R</t>
        </is>
      </c>
      <c r="F29" s="17" t="n"/>
      <c r="G29" s="9" t="n">
        <v>282</v>
      </c>
      <c r="H29" s="9" t="n">
        <v>1349</v>
      </c>
      <c r="I29" s="9" t="inlineStr">
        <is>
          <t>Mid-Rotation Starter (SP2-3)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</f>
        <v/>
      </c>
      <c r="AD29" s="15">
        <f>SUMPRODUCT(M29:X29,$M$6:$X$6)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280</v>
      </c>
      <c r="H30" s="9" t="n">
        <v>3295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</f>
        <v/>
      </c>
      <c r="AD30" s="15">
        <f>SUMPRODUCT(M30:X30,$M$6:$X$6)</f>
        <v/>
      </c>
      <c r="AE30" s="19" t="n"/>
    </row>
    <row r="31">
      <c r="A31" s="9" t="n">
        <v>694973</v>
      </c>
      <c r="B31" s="9" t="inlineStr">
        <is>
          <t>Paul Skenes</t>
        </is>
      </c>
      <c r="C31" s="9" t="inlineStr">
        <is>
          <t>PIT</t>
        </is>
      </c>
      <c r="D31" s="9" t="n">
        <v>25</v>
      </c>
      <c r="E31" s="17" t="inlineStr">
        <is>
          <t>R</t>
        </is>
      </c>
      <c r="F31" s="17" t="n"/>
      <c r="G31" s="9" t="n">
        <v>303</v>
      </c>
      <c r="H31" s="9" t="n">
        <v>1550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</f>
        <v/>
      </c>
      <c r="AD31" s="15">
        <f>SUMPRODUCT(M31:X31,$M$6:$X$6)</f>
        <v/>
      </c>
      <c r="AE31" s="19" t="n"/>
    </row>
    <row r="32">
      <c r="A32" s="9" t="n">
        <v>669373</v>
      </c>
      <c r="B32" s="9" t="inlineStr">
        <is>
          <t>Tarik Skubal</t>
        </is>
      </c>
      <c r="C32" s="9" t="inlineStr">
        <is>
          <t>DET</t>
        </is>
      </c>
      <c r="D32" s="9" t="n">
        <v>30</v>
      </c>
      <c r="E32" s="17" t="inlineStr">
        <is>
          <t>L</t>
        </is>
      </c>
      <c r="F32" s="17" t="n"/>
      <c r="G32" s="9" t="n">
        <v>166</v>
      </c>
      <c r="H32" s="9" t="n">
        <v>2454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</f>
        <v/>
      </c>
      <c r="AD32" s="15">
        <f>SUMPRODUCT(M32:X32,$M$6:$X$6)</f>
        <v/>
      </c>
      <c r="AE32" s="19" t="n"/>
    </row>
    <row r="33">
      <c r="A33" s="9" t="n">
        <v>489446</v>
      </c>
      <c r="B33" s="9" t="inlineStr">
        <is>
          <t>Kirby Yates</t>
        </is>
      </c>
      <c r="C33" s="9" t="inlineStr">
        <is>
          <t>LAA</t>
        </is>
      </c>
      <c r="D33" s="9" t="n">
        <v>40</v>
      </c>
      <c r="E33" s="17" t="inlineStr">
        <is>
          <t>R</t>
        </is>
      </c>
      <c r="F33" s="17" t="n"/>
      <c r="G33" s="9" t="n">
        <v>50</v>
      </c>
      <c r="H33" s="9" t="n">
        <v>752</v>
      </c>
      <c r="I33" s="9" t="inlineStr">
        <is>
          <t>Late Inning RP (Setup)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</f>
        <v/>
      </c>
      <c r="AD33" s="15">
        <f>SUMPRODUCT(M33:X33,$M$6:$X$6)</f>
        <v/>
      </c>
      <c r="AE33" s="19" t="n"/>
    </row>
    <row r="34">
      <c r="A34" s="9" t="n">
        <v>664854</v>
      </c>
      <c r="B34" s="9" t="inlineStr">
        <is>
          <t>Ryan Helsley</t>
        </is>
      </c>
      <c r="C34" s="9" t="inlineStr">
        <is>
          <t>BAL</t>
        </is>
      </c>
      <c r="D34" s="9" t="n">
        <v>32</v>
      </c>
      <c r="E34" s="17" t="inlineStr">
        <is>
          <t>R</t>
        </is>
      </c>
      <c r="F34" s="17" t="n"/>
      <c r="G34" s="9" t="n">
        <v>46</v>
      </c>
      <c r="H34" s="9" t="n">
        <v>949</v>
      </c>
      <c r="I34" s="9" t="inlineStr">
        <is>
          <t>Late Inning RP (Setup)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</f>
        <v/>
      </c>
      <c r="AD34" s="15">
        <f>SUMPRODUCT(M34:X34,$M$6:$X$6)</f>
        <v/>
      </c>
      <c r="AE34" s="19" t="n"/>
    </row>
    <row r="35">
      <c r="A35" s="9" t="n">
        <v>695505</v>
      </c>
      <c r="B35" s="9" t="inlineStr">
        <is>
          <t>Chase Burns</t>
        </is>
      </c>
      <c r="C35" s="9" t="inlineStr">
        <is>
          <t>CIN</t>
        </is>
      </c>
      <c r="D35" s="9" t="n">
        <v>24</v>
      </c>
      <c r="E35" s="17" t="inlineStr">
        <is>
          <t>R</t>
        </is>
      </c>
      <c r="F35" s="17" t="n"/>
      <c r="G35" s="9" t="n">
        <v>297</v>
      </c>
      <c r="H35" s="9" t="n">
        <v>485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</f>
        <v/>
      </c>
      <c r="AD35" s="15">
        <f>SUMPRODUCT(M35:X35,$M$6:$X$6)</f>
        <v/>
      </c>
      <c r="AE35" s="19" t="n"/>
    </row>
    <row r="36">
      <c r="A36" s="9" t="n">
        <v>670955</v>
      </c>
      <c r="B36" s="9" t="inlineStr">
        <is>
          <t>Edwin Uceta</t>
        </is>
      </c>
      <c r="C36" s="9" t="inlineStr">
        <is>
          <t>TB</t>
        </is>
      </c>
      <c r="D36" s="9" t="n">
        <v>29</v>
      </c>
      <c r="E36" s="17" t="inlineStr">
        <is>
          <t>R</t>
        </is>
      </c>
      <c r="F36" s="17" t="n"/>
      <c r="G36" s="9" t="n">
        <v>321</v>
      </c>
      <c r="H36" s="9" t="n">
        <v>564</v>
      </c>
      <c r="I36" s="9" t="inlineStr">
        <is>
          <t>Late Inning RP (Setup)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</f>
        <v/>
      </c>
      <c r="AD36" s="15">
        <f>SUMPRODUCT(M36:X36,$M$6:$X$6)</f>
        <v/>
      </c>
      <c r="AE36" s="19" t="n"/>
    </row>
    <row r="37">
      <c r="A37" s="9" t="n">
        <v>668881</v>
      </c>
      <c r="B37" s="9" t="inlineStr">
        <is>
          <t>Hunter Greene</t>
        </is>
      </c>
      <c r="C37" s="9" t="inlineStr">
        <is>
          <t>CIN</t>
        </is>
      </c>
      <c r="D37" s="9" t="n">
        <v>27</v>
      </c>
      <c r="E37" s="17" t="inlineStr">
        <is>
          <t>R</t>
        </is>
      </c>
      <c r="F37" s="17" t="n"/>
      <c r="G37" s="9" t="n">
        <v>420</v>
      </c>
      <c r="H37" s="9" t="n">
        <v>2060</v>
      </c>
      <c r="I37" s="9" t="inlineStr">
        <is>
          <t>Mid-Rotation Starter (SP2-3)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</f>
        <v/>
      </c>
      <c r="AD37" s="15">
        <f>SUMPRODUCT(M37:X37,$M$6:$X$6)</f>
        <v/>
      </c>
      <c r="AE37" s="19" t="n"/>
    </row>
    <row r="38">
      <c r="A38" s="9" t="n">
        <v>502085</v>
      </c>
      <c r="B38" s="9" t="inlineStr">
        <is>
          <t>David Robertson</t>
        </is>
      </c>
      <c r="C38" s="9" t="inlineStr">
        <is>
          <t>PHI</t>
        </is>
      </c>
      <c r="D38" s="9" t="n">
        <v>42</v>
      </c>
      <c r="E38" s="17" t="inlineStr">
        <is>
          <t>R</t>
        </is>
      </c>
      <c r="F38" s="17" t="n"/>
      <c r="G38" s="9" t="n">
        <v>78</v>
      </c>
      <c r="H38" s="9" t="n">
        <v>907</v>
      </c>
      <c r="I38" s="9" t="inlineStr">
        <is>
          <t>Late Inning RP (Setup)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</f>
        <v/>
      </c>
      <c r="AD38" s="15">
        <f>SUMPRODUCT(M38:X38,$M$6:$X$6)</f>
        <v/>
      </c>
      <c r="AE38" s="19" t="n"/>
    </row>
    <row r="39">
      <c r="A39" s="9" t="n">
        <v>666142</v>
      </c>
      <c r="B39" s="9" t="inlineStr">
        <is>
          <t>Cole Ragans</t>
        </is>
      </c>
      <c r="C39" s="9" t="inlineStr">
        <is>
          <t>KC</t>
        </is>
      </c>
      <c r="D39" s="9" t="n">
        <v>29</v>
      </c>
      <c r="E39" s="17" t="inlineStr">
        <is>
          <t>L</t>
        </is>
      </c>
      <c r="F39" s="17" t="n"/>
      <c r="G39" s="9" t="n">
        <v>151</v>
      </c>
      <c r="H39" s="9" t="n">
        <v>1736</v>
      </c>
      <c r="I39" s="9" t="inlineStr">
        <is>
          <t>Mid-Rotation Starter (SP2-3)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</f>
        <v/>
      </c>
      <c r="AD39" s="15">
        <f>SUMPRODUCT(M39:X39,$M$6:$X$6)</f>
        <v/>
      </c>
      <c r="AE39" s="19" t="n"/>
    </row>
    <row r="40">
      <c r="A40" s="9" t="n">
        <v>518886</v>
      </c>
      <c r="B40" s="9" t="inlineStr">
        <is>
          <t>Craig Kimbrel</t>
        </is>
      </c>
      <c r="C40" s="9" t="inlineStr">
        <is>
          <t>TB</t>
        </is>
      </c>
      <c r="D40" s="9" t="n">
        <v>39</v>
      </c>
      <c r="E40" s="17" t="inlineStr">
        <is>
          <t>R</t>
        </is>
      </c>
      <c r="F40" s="17" t="n"/>
      <c r="G40" s="9" t="n">
        <v>68</v>
      </c>
      <c r="H40" s="9" t="n">
        <v>887</v>
      </c>
      <c r="I40" s="9" t="inlineStr">
        <is>
          <t>Middle Relief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</f>
        <v/>
      </c>
      <c r="AD40" s="15">
        <f>SUMPRODUCT(M40:X40,$M$6:$X$6)</f>
        <v/>
      </c>
      <c r="AE40" s="19" t="n"/>
    </row>
    <row r="41">
      <c r="A41" s="9" t="n">
        <v>664076</v>
      </c>
      <c r="B41" s="9" t="inlineStr">
        <is>
          <t>Garrett Cleavinger</t>
        </is>
      </c>
      <c r="C41" s="9" t="inlineStr">
        <is>
          <t>TB</t>
        </is>
      </c>
      <c r="D41" s="9" t="n">
        <v>33</v>
      </c>
      <c r="E41" s="17" t="inlineStr">
        <is>
          <t>L</t>
        </is>
      </c>
      <c r="F41" s="17" t="n"/>
      <c r="G41" s="9" t="n">
        <v>63</v>
      </c>
      <c r="H41" s="9" t="n">
        <v>712</v>
      </c>
      <c r="I41" s="9" t="inlineStr">
        <is>
          <t>Closer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</f>
        <v/>
      </c>
      <c r="AD41" s="15">
        <f>SUMPRODUCT(M41:X41,$M$6:$X$6)</f>
        <v/>
      </c>
      <c r="AE41" s="19" t="n"/>
    </row>
    <row r="42">
      <c r="A42" s="9" t="n">
        <v>656945</v>
      </c>
      <c r="B42" s="9" t="inlineStr">
        <is>
          <t>Tanner Scott</t>
        </is>
      </c>
      <c r="C42" s="9" t="inlineStr">
        <is>
          <t>LAD</t>
        </is>
      </c>
      <c r="D42" s="9" t="n">
        <v>32</v>
      </c>
      <c r="E42" s="17" t="inlineStr">
        <is>
          <t>L</t>
        </is>
      </c>
      <c r="F42" s="17" t="n"/>
      <c r="G42" s="9" t="n">
        <v>104</v>
      </c>
      <c r="H42" s="9" t="n">
        <v>1232</v>
      </c>
      <c r="I42" s="9" t="inlineStr">
        <is>
          <t>Middle Relief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</f>
        <v/>
      </c>
      <c r="AD42" s="15">
        <f>SUMPRODUCT(M42:X42,$M$6:$X$6)</f>
        <v/>
      </c>
      <c r="AE42" s="19" t="n"/>
    </row>
    <row r="43">
      <c r="A43" s="9" t="n">
        <v>669276</v>
      </c>
      <c r="B43" s="9" t="inlineStr">
        <is>
          <t>Dylan Lee</t>
        </is>
      </c>
      <c r="C43" s="9" t="inlineStr">
        <is>
          <t>ATL</t>
        </is>
      </c>
      <c r="D43" s="9" t="n">
        <v>32</v>
      </c>
      <c r="E43" s="17" t="inlineStr">
        <is>
          <t>L</t>
        </is>
      </c>
      <c r="F43" s="17" t="n"/>
      <c r="G43" s="9" t="n">
        <v>111</v>
      </c>
      <c r="H43" s="9" t="n">
        <v>919</v>
      </c>
      <c r="I43" s="9" t="inlineStr">
        <is>
          <t>Closer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</f>
        <v/>
      </c>
      <c r="AD43" s="15">
        <f>SUMPRODUCT(M43:X43,$M$6:$X$6)</f>
        <v/>
      </c>
      <c r="AE43" s="19" t="n"/>
    </row>
    <row r="44">
      <c r="A44" s="9" t="n">
        <v>621237</v>
      </c>
      <c r="B44" s="9" t="inlineStr">
        <is>
          <t>José Alvarado</t>
        </is>
      </c>
      <c r="C44" s="9" t="inlineStr">
        <is>
          <t>PHI</t>
        </is>
      </c>
      <c r="D44" s="9" t="n">
        <v>32</v>
      </c>
      <c r="E44" s="17" t="inlineStr">
        <is>
          <t>L</t>
        </is>
      </c>
      <c r="F44" s="17" t="n"/>
      <c r="G44" s="9" t="n">
        <v>111</v>
      </c>
      <c r="H44" s="9" t="n">
        <v>869</v>
      </c>
      <c r="I44" s="9" t="inlineStr">
        <is>
          <t>Late Inning RP (Setup)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</f>
        <v/>
      </c>
      <c r="AD44" s="15">
        <f>SUMPRODUCT(M44:X44,$M$6:$X$6)</f>
        <v/>
      </c>
      <c r="AE44" s="19" t="n"/>
    </row>
    <row r="45">
      <c r="A45" s="9" t="n">
        <v>677053</v>
      </c>
      <c r="B45" s="9" t="inlineStr">
        <is>
          <t>Andrew Nardi</t>
        </is>
      </c>
      <c r="C45" s="9" t="inlineStr">
        <is>
          <t>MIA</t>
        </is>
      </c>
      <c r="D45" s="9" t="n">
        <v>28</v>
      </c>
      <c r="E45" s="17" t="inlineStr">
        <is>
          <t>L</t>
        </is>
      </c>
      <c r="F45" s="17" t="n"/>
      <c r="G45" s="9" t="n">
        <v>99</v>
      </c>
      <c r="H45" s="9" t="n">
        <v>629</v>
      </c>
      <c r="I45" s="9" t="inlineStr">
        <is>
          <t>Late Inning RP (Setup)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</f>
        <v/>
      </c>
      <c r="AD45" s="15">
        <f>SUMPRODUCT(M45:X45,$M$6:$X$6)</f>
        <v/>
      </c>
      <c r="AE45" s="19" t="n"/>
    </row>
    <row r="46">
      <c r="A46" s="9" t="n">
        <v>682254</v>
      </c>
      <c r="B46" s="9" t="inlineStr">
        <is>
          <t>Mason Montgomery</t>
        </is>
      </c>
      <c r="C46" s="9" t="inlineStr">
        <is>
          <t>PIT</t>
        </is>
      </c>
      <c r="D46" s="9" t="n">
        <v>27</v>
      </c>
      <c r="E46" s="17" t="inlineStr">
        <is>
          <t>L</t>
        </is>
      </c>
      <c r="F46" s="17" t="n"/>
      <c r="G46" s="9" t="n">
        <v>112</v>
      </c>
      <c r="H46" s="9" t="n">
        <v>358</v>
      </c>
      <c r="I46" s="9" t="inlineStr">
        <is>
          <t>Late Inning RP (Setup)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</f>
        <v/>
      </c>
      <c r="AD46" s="15">
        <f>SUMPRODUCT(M46:X46,$M$6:$X$6)</f>
        <v/>
      </c>
      <c r="AE46" s="19" t="n"/>
    </row>
    <row r="47">
      <c r="A47" s="9" t="n">
        <v>666374</v>
      </c>
      <c r="B47" s="9" t="inlineStr">
        <is>
          <t>Matt Brash</t>
        </is>
      </c>
      <c r="C47" s="9" t="inlineStr">
        <is>
          <t>SEA</t>
        </is>
      </c>
      <c r="D47" s="9" t="n">
        <v>29</v>
      </c>
      <c r="E47" s="17" t="inlineStr">
        <is>
          <t>R</t>
        </is>
      </c>
      <c r="F47" s="17" t="n"/>
      <c r="G47" s="9" t="n">
        <v>64</v>
      </c>
      <c r="H47" s="9" t="n">
        <v>793</v>
      </c>
      <c r="I47" s="9" t="inlineStr">
        <is>
          <t>Late Inning RP (Setup)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</f>
        <v/>
      </c>
      <c r="AD47" s="15">
        <f>SUMPRODUCT(M47:X47,$M$6:$X$6)</f>
        <v/>
      </c>
      <c r="AE47" s="19" t="n"/>
    </row>
    <row r="48">
      <c r="A48" s="9" t="n">
        <v>643377</v>
      </c>
      <c r="B48" s="9" t="inlineStr">
        <is>
          <t>Griffin Jax</t>
        </is>
      </c>
      <c r="C48" s="9" t="inlineStr">
        <is>
          <t>TB</t>
        </is>
      </c>
      <c r="D48" s="9" t="n">
        <v>32</v>
      </c>
      <c r="E48" s="17" t="inlineStr">
        <is>
          <t>R</t>
        </is>
      </c>
      <c r="F48" s="17" t="n"/>
      <c r="G48" s="9" t="n">
        <v>164</v>
      </c>
      <c r="H48" s="9" t="n">
        <v>1287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</f>
        <v/>
      </c>
      <c r="AD48" s="15">
        <f>SUMPRODUCT(M48:X48,$M$6:$X$6)</f>
        <v/>
      </c>
      <c r="AE48" s="19" t="n"/>
    </row>
    <row r="49">
      <c r="A49" s="9" t="n">
        <v>640462</v>
      </c>
      <c r="B49" s="9" t="inlineStr">
        <is>
          <t>A.J. Puk</t>
        </is>
      </c>
      <c r="C49" s="9" t="inlineStr">
        <is>
          <t>ARI</t>
        </is>
      </c>
      <c r="D49" s="9" t="n">
        <v>32</v>
      </c>
      <c r="E49" s="17" t="inlineStr">
        <is>
          <t>L</t>
        </is>
      </c>
      <c r="F49" s="17" t="n"/>
      <c r="G49" s="9" t="n">
        <v>35</v>
      </c>
      <c r="H49" s="9" t="n">
        <v>852</v>
      </c>
      <c r="I49" s="9" t="inlineStr">
        <is>
          <t>Closer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</f>
        <v/>
      </c>
      <c r="AD49" s="15">
        <f>SUMPRODUCT(M49:X49,$M$6:$X$6)</f>
        <v/>
      </c>
      <c r="AE49" s="19" t="n"/>
    </row>
    <row r="50">
      <c r="A50" s="9" t="n">
        <v>554430</v>
      </c>
      <c r="B50" s="9" t="inlineStr">
        <is>
          <t>Zack Wheeler</t>
        </is>
      </c>
      <c r="C50" s="9" t="inlineStr">
        <is>
          <t>PHI</t>
        </is>
      </c>
      <c r="D50" s="9" t="n">
        <v>37</v>
      </c>
      <c r="E50" s="17" t="inlineStr">
        <is>
          <t>R</t>
        </is>
      </c>
      <c r="F50" s="17" t="n"/>
      <c r="G50" s="9" t="n">
        <v>213</v>
      </c>
      <c r="H50" s="9" t="n">
        <v>2979</v>
      </c>
      <c r="I50" s="9" t="inlineStr">
        <is>
          <t>Ace (SP1)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</f>
        <v/>
      </c>
      <c r="AD50" s="15">
        <f>SUMPRODUCT(M50:X50,$M$6:$X$6)</f>
        <v/>
      </c>
      <c r="AE50" s="19" t="n"/>
    </row>
    <row r="51">
      <c r="A51" s="9" t="n">
        <v>605540</v>
      </c>
      <c r="B51" s="9" t="inlineStr">
        <is>
          <t>Brandon Woodruff</t>
        </is>
      </c>
      <c r="C51" s="9" t="inlineStr">
        <is>
          <t>MIL</t>
        </is>
      </c>
      <c r="D51" s="9" t="n">
        <v>34</v>
      </c>
      <c r="E51" s="17" t="inlineStr">
        <is>
          <t>R</t>
        </is>
      </c>
      <c r="F51" s="17" t="n"/>
      <c r="G51" s="9" t="n">
        <v>121</v>
      </c>
      <c r="H51" s="9" t="n">
        <v>1251</v>
      </c>
      <c r="I51" s="9" t="inlineStr">
        <is>
          <t>Mid-Rotation Starter (SP2-3)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</f>
        <v/>
      </c>
      <c r="AD51" s="15">
        <f>SUMPRODUCT(M51:X51,$M$6:$X$6)</f>
        <v/>
      </c>
      <c r="AE51" s="19" t="n"/>
    </row>
    <row r="52">
      <c r="A52" s="9" t="n">
        <v>656730</v>
      </c>
      <c r="B52" s="9" t="inlineStr">
        <is>
          <t>Trevor Megill</t>
        </is>
      </c>
      <c r="C52" s="9" t="inlineStr">
        <is>
          <t>MIL</t>
        </is>
      </c>
      <c r="D52" s="9" t="n">
        <v>33</v>
      </c>
      <c r="E52" s="17" t="inlineStr">
        <is>
          <t>R</t>
        </is>
      </c>
      <c r="F52" s="17" t="n"/>
      <c r="G52" s="9" t="n">
        <v>97</v>
      </c>
      <c r="H52" s="9" t="n">
        <v>816</v>
      </c>
      <c r="I52" s="9" t="inlineStr">
        <is>
          <t>Late Inning RP (Setup)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</f>
        <v/>
      </c>
      <c r="AD52" s="15">
        <f>SUMPRODUCT(M52:X52,$M$6:$X$6)</f>
        <v/>
      </c>
      <c r="AE52" s="19" t="n"/>
    </row>
    <row r="53">
      <c r="A53" s="9" t="n">
        <v>701656</v>
      </c>
      <c r="B53" s="9" t="inlineStr">
        <is>
          <t>Logan Henderson</t>
        </is>
      </c>
      <c r="C53" s="9" t="inlineStr">
        <is>
          <t>MIL</t>
        </is>
      </c>
      <c r="D53" s="9" t="n">
        <v>25</v>
      </c>
      <c r="E53" s="17" t="inlineStr">
        <is>
          <t>R</t>
        </is>
      </c>
      <c r="F53" s="17" t="n"/>
      <c r="G53" s="9" t="n">
        <v>90</v>
      </c>
      <c r="H53" s="9" t="n">
        <v>189</v>
      </c>
      <c r="I53" s="9" t="inlineStr">
        <is>
          <t>End-of-Rotation Starter (SP4-5)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</f>
        <v/>
      </c>
      <c r="AD53" s="15">
        <f>SUMPRODUCT(M53:X53,$M$6:$X$6)</f>
        <v/>
      </c>
      <c r="AE53" s="19" t="n"/>
    </row>
    <row r="54">
      <c r="A54" s="9" t="n">
        <v>642100</v>
      </c>
      <c r="B54" s="9" t="inlineStr">
        <is>
          <t>Gabe Speier</t>
        </is>
      </c>
      <c r="C54" s="9" t="inlineStr">
        <is>
          <t>SEA</t>
        </is>
      </c>
      <c r="D54" s="9" t="n">
        <v>32</v>
      </c>
      <c r="E54" s="17" t="inlineStr">
        <is>
          <t>L</t>
        </is>
      </c>
      <c r="F54" s="17" t="n"/>
      <c r="G54" s="9" t="n">
        <v>75</v>
      </c>
      <c r="H54" s="9" t="n">
        <v>715</v>
      </c>
      <c r="I54" s="9" t="inlineStr">
        <is>
          <t>Late Inning RP (Setup)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</f>
        <v/>
      </c>
      <c r="AD54" s="15">
        <f>SUMPRODUCT(M54:X54,$M$6:$X$6)</f>
        <v/>
      </c>
      <c r="AE54" s="19" t="n"/>
    </row>
    <row r="55">
      <c r="A55" s="9" t="n">
        <v>670280</v>
      </c>
      <c r="B55" s="9" t="inlineStr">
        <is>
          <t>David Bednar</t>
        </is>
      </c>
      <c r="C55" s="9" t="inlineStr">
        <is>
          <t>NYY</t>
        </is>
      </c>
      <c r="D55" s="9" t="n">
        <v>32</v>
      </c>
      <c r="E55" s="17" t="inlineStr">
        <is>
          <t>R</t>
        </is>
      </c>
      <c r="F55" s="17" t="n"/>
      <c r="G55" s="9" t="n">
        <v>123</v>
      </c>
      <c r="H55" s="9" t="n">
        <v>1123</v>
      </c>
      <c r="I55" s="9" t="inlineStr">
        <is>
          <t>Closer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</f>
        <v/>
      </c>
      <c r="AD55" s="15">
        <f>SUMPRODUCT(M55:X55,$M$6:$X$6)</f>
        <v/>
      </c>
      <c r="AE55" s="19" t="n"/>
    </row>
    <row r="56">
      <c r="A56" s="9" t="n">
        <v>621381</v>
      </c>
      <c r="B56" s="9" t="inlineStr">
        <is>
          <t>Matt Strahm</t>
        </is>
      </c>
      <c r="C56" s="9" t="inlineStr">
        <is>
          <t>KC</t>
        </is>
      </c>
      <c r="D56" s="9" t="n">
        <v>35</v>
      </c>
      <c r="E56" s="17" t="inlineStr">
        <is>
          <t>L</t>
        </is>
      </c>
      <c r="F56" s="17" t="n"/>
      <c r="G56" s="9" t="n">
        <v>82</v>
      </c>
      <c r="H56" s="9" t="n">
        <v>1119</v>
      </c>
      <c r="I56" s="9" t="inlineStr">
        <is>
          <t>Closer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</f>
        <v/>
      </c>
      <c r="AD56" s="15">
        <f>SUMPRODUCT(M56:X56,$M$6:$X$6)</f>
        <v/>
      </c>
      <c r="AE56" s="19" t="n"/>
    </row>
    <row r="57">
      <c r="A57" s="9" t="n">
        <v>628452</v>
      </c>
      <c r="B57" s="9" t="inlineStr">
        <is>
          <t>Raisel Iglesias</t>
        </is>
      </c>
      <c r="C57" s="9" t="inlineStr">
        <is>
          <t>ATL</t>
        </is>
      </c>
      <c r="D57" s="9" t="n">
        <v>37</v>
      </c>
      <c r="E57" s="17" t="inlineStr">
        <is>
          <t>R</t>
        </is>
      </c>
      <c r="F57" s="17" t="n"/>
      <c r="G57" s="9" t="n">
        <v>85</v>
      </c>
      <c r="H57" s="9" t="n">
        <v>1087</v>
      </c>
      <c r="I57" s="9" t="inlineStr">
        <is>
          <t>Late Inning RP (Setup)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</f>
        <v/>
      </c>
      <c r="AD57" s="15">
        <f>SUMPRODUCT(M57:X57,$M$6:$X$6)</f>
        <v/>
      </c>
      <c r="AE57" s="19" t="n"/>
    </row>
    <row r="58">
      <c r="A58" s="9" t="n">
        <v>664126</v>
      </c>
      <c r="B58" s="9" t="inlineStr">
        <is>
          <t>Pete Fairbanks</t>
        </is>
      </c>
      <c r="C58" s="9" t="inlineStr">
        <is>
          <t>MIA</t>
        </is>
      </c>
      <c r="D58" s="9" t="n">
        <v>33</v>
      </c>
      <c r="E58" s="17" t="inlineStr">
        <is>
          <t>R</t>
        </is>
      </c>
      <c r="F58" s="17" t="n"/>
      <c r="G58" s="9" t="n">
        <v>83</v>
      </c>
      <c r="H58" s="9" t="n">
        <v>783</v>
      </c>
      <c r="I58" s="9" t="inlineStr">
        <is>
          <t>Late Inning RP (Setup)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</f>
        <v/>
      </c>
      <c r="AD58" s="15">
        <f>SUMPRODUCT(M58:X58,$M$6:$X$6)</f>
        <v/>
      </c>
      <c r="AE58" s="19" t="n"/>
    </row>
    <row r="59">
      <c r="A59" s="9" t="n">
        <v>676879</v>
      </c>
      <c r="B59" s="9" t="inlineStr">
        <is>
          <t>Aaron Ashby</t>
        </is>
      </c>
      <c r="C59" s="9" t="inlineStr">
        <is>
          <t>MIL</t>
        </is>
      </c>
      <c r="D59" s="9" t="n">
        <v>29</v>
      </c>
      <c r="E59" s="17" t="inlineStr">
        <is>
          <t>L</t>
        </is>
      </c>
      <c r="F59" s="17" t="n"/>
      <c r="G59" s="9" t="n">
        <v>172</v>
      </c>
      <c r="H59" s="9" t="n">
        <v>1036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</f>
        <v/>
      </c>
      <c r="AD59" s="15">
        <f>SUMPRODUCT(M59:X59,$M$6:$X$6)</f>
        <v/>
      </c>
      <c r="AE59" s="19" t="n"/>
    </row>
    <row r="60">
      <c r="A60" s="9" t="n">
        <v>623149</v>
      </c>
      <c r="B60" s="9" t="inlineStr">
        <is>
          <t>Paul Sewald</t>
        </is>
      </c>
      <c r="C60" s="9" t="inlineStr">
        <is>
          <t>ARI</t>
        </is>
      </c>
      <c r="D60" s="9" t="n">
        <v>37</v>
      </c>
      <c r="E60" s="17" t="inlineStr">
        <is>
          <t>R</t>
        </is>
      </c>
      <c r="F60" s="17" t="n"/>
      <c r="G60" s="9" t="n">
        <v>88</v>
      </c>
      <c r="H60" s="9" t="n">
        <v>825</v>
      </c>
      <c r="I60" s="9" t="inlineStr">
        <is>
          <t>Middle Relief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</f>
        <v/>
      </c>
      <c r="AD60" s="15">
        <f>SUMPRODUCT(M60:X60,$M$6:$X$6)</f>
        <v/>
      </c>
      <c r="AE60" s="19" t="n"/>
    </row>
    <row r="61">
      <c r="A61" s="9" t="n">
        <v>671305</v>
      </c>
      <c r="B61" s="9" t="inlineStr">
        <is>
          <t>Michel Otañez</t>
        </is>
      </c>
      <c r="C61" s="9" t="inlineStr">
        <is>
          <t>OAK</t>
        </is>
      </c>
      <c r="D61" s="9" t="n">
        <v>29</v>
      </c>
      <c r="E61" s="17" t="inlineStr">
        <is>
          <t>R</t>
        </is>
      </c>
      <c r="F61" s="17" t="n"/>
      <c r="G61" s="9" t="n">
        <v>28</v>
      </c>
      <c r="H61" s="9" t="n">
        <v>179</v>
      </c>
      <c r="I61" s="9" t="inlineStr">
        <is>
          <t>Late Inning RP (Setup)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</f>
        <v/>
      </c>
      <c r="AD61" s="15">
        <f>SUMPRODUCT(M61:X61,$M$6:$X$6)</f>
        <v/>
      </c>
      <c r="AE61" s="19" t="n"/>
    </row>
    <row r="62">
      <c r="A62" s="9" t="n">
        <v>642547</v>
      </c>
      <c r="B62" s="9" t="inlineStr">
        <is>
          <t>Freddy Peralta</t>
        </is>
      </c>
      <c r="C62" s="9" t="inlineStr">
        <is>
          <t>NYM</t>
        </is>
      </c>
      <c r="D62" s="9" t="n">
        <v>31</v>
      </c>
      <c r="E62" s="17" t="inlineStr">
        <is>
          <t>R</t>
        </is>
      </c>
      <c r="F62" s="17" t="n"/>
      <c r="G62" s="9" t="n">
        <v>337</v>
      </c>
      <c r="H62" s="9" t="n">
        <v>2782</v>
      </c>
      <c r="I62" s="9" t="inlineStr">
        <is>
          <t>Mid-Rotation Starter (SP2-3)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</f>
        <v/>
      </c>
      <c r="AD62" s="15">
        <f>SUMPRODUCT(M62:X62,$M$6:$X$6)</f>
        <v/>
      </c>
      <c r="AE62" s="19" t="n"/>
    </row>
    <row r="63">
      <c r="A63" s="9" t="n">
        <v>543037</v>
      </c>
      <c r="B63" s="9" t="inlineStr">
        <is>
          <t>Gerrit Cole</t>
        </is>
      </c>
      <c r="C63" s="9" t="inlineStr">
        <is>
          <t>NYY</t>
        </is>
      </c>
      <c r="D63" s="9" t="n">
        <v>36</v>
      </c>
      <c r="E63" s="17" t="inlineStr">
        <is>
          <t>R</t>
        </is>
      </c>
      <c r="F63" s="17" t="n"/>
      <c r="G63" s="9" t="n">
        <v>89</v>
      </c>
      <c r="H63" s="9" t="n">
        <v>2093</v>
      </c>
      <c r="I63" s="9" t="inlineStr">
        <is>
          <t>Mid-Rotation Starter (SP2-3)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</f>
        <v/>
      </c>
      <c r="AD63" s="15">
        <f>SUMPRODUCT(M63:X63,$M$6:$X$6)</f>
        <v/>
      </c>
      <c r="AE63" s="19" t="n"/>
    </row>
    <row r="64">
      <c r="A64" s="9" t="n">
        <v>808967</v>
      </c>
      <c r="B64" s="9" t="inlineStr">
        <is>
          <t>Yoshinobu Yamamoto</t>
        </is>
      </c>
      <c r="C64" s="9" t="inlineStr">
        <is>
          <t>LAD</t>
        </is>
      </c>
      <c r="D64" s="9" t="n">
        <v>28</v>
      </c>
      <c r="E64" s="17" t="inlineStr">
        <is>
          <t>R</t>
        </is>
      </c>
      <c r="F64" s="17" t="n"/>
      <c r="G64" s="9" t="n">
        <v>296</v>
      </c>
      <c r="H64" s="9" t="n">
        <v>1348</v>
      </c>
      <c r="I64" s="9" t="inlineStr">
        <is>
          <t>Mid-Rotation Starter (SP2-3)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</f>
        <v/>
      </c>
      <c r="AD64" s="15">
        <f>SUMPRODUCT(M64:X64,$M$6:$X$6)</f>
        <v/>
      </c>
      <c r="AE64" s="19" t="n"/>
    </row>
    <row r="65">
      <c r="A65" s="9" t="n">
        <v>657746</v>
      </c>
      <c r="B65" s="9" t="inlineStr">
        <is>
          <t>Joe Ryan</t>
        </is>
      </c>
      <c r="C65" s="9" t="inlineStr">
        <is>
          <t>MIN</t>
        </is>
      </c>
      <c r="D65" s="9" t="n">
        <v>31</v>
      </c>
      <c r="E65" s="17" t="inlineStr">
        <is>
          <t>R</t>
        </is>
      </c>
      <c r="F65" s="17" t="n"/>
      <c r="G65" s="9" t="n">
        <v>308</v>
      </c>
      <c r="H65" s="9" t="n">
        <v>2811</v>
      </c>
      <c r="I65" s="9" t="inlineStr">
        <is>
          <t>Mid-Rotation Starter (SP2-3)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</f>
        <v/>
      </c>
      <c r="AD65" s="15">
        <f>SUMPRODUCT(M65:X65,$M$6:$X$6)</f>
        <v/>
      </c>
      <c r="AE65" s="19" t="n"/>
    </row>
    <row r="66">
      <c r="A66" s="9" t="n">
        <v>673380</v>
      </c>
      <c r="B66" s="9" t="inlineStr">
        <is>
          <t>Dedniel Núñez</t>
        </is>
      </c>
      <c r="C66" s="9" t="inlineStr">
        <is>
          <t>NYM</t>
        </is>
      </c>
      <c r="D66" s="9" t="n">
        <v>31</v>
      </c>
      <c r="E66" s="17" t="inlineStr">
        <is>
          <t>R</t>
        </is>
      </c>
      <c r="F66" s="17" t="n"/>
      <c r="G66" s="9" t="n">
        <v>41</v>
      </c>
      <c r="H66" s="9" t="n">
        <v>176</v>
      </c>
      <c r="I66" s="9" t="inlineStr">
        <is>
          <t>Late Inning RP (Setup)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</f>
        <v/>
      </c>
      <c r="AD66" s="15">
        <f>SUMPRODUCT(M66:X66,$M$6:$X$6)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67</v>
      </c>
      <c r="H67" s="9" t="n">
        <v>432</v>
      </c>
      <c r="I67" s="9" t="inlineStr">
        <is>
          <t>Late Inning RP (Setup)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</f>
        <v/>
      </c>
      <c r="AD67" s="15">
        <f>SUMPRODUCT(M67:X67,$M$6:$X$6)</f>
        <v/>
      </c>
      <c r="AE67" s="19" t="n"/>
    </row>
    <row r="68">
      <c r="A68" s="9" t="n">
        <v>601713</v>
      </c>
      <c r="B68" s="9" t="inlineStr">
        <is>
          <t>Nick Pivetta</t>
        </is>
      </c>
      <c r="C68" s="9" t="inlineStr">
        <is>
          <t>SD</t>
        </is>
      </c>
      <c r="D68" s="9" t="n">
        <v>34</v>
      </c>
      <c r="E68" s="17" t="inlineStr">
        <is>
          <t>R</t>
        </is>
      </c>
      <c r="F68" s="17" t="n"/>
      <c r="G68" s="9" t="n">
        <v>66</v>
      </c>
      <c r="H68" s="9" t="n">
        <v>2742</v>
      </c>
      <c r="I68" s="9" t="inlineStr">
        <is>
          <t>Mid-Rotation Starter (SP2-3)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</f>
        <v/>
      </c>
      <c r="AD68" s="15">
        <f>SUMPRODUCT(M68:X68,$M$6:$X$6)</f>
        <v/>
      </c>
      <c r="AE68" s="19" t="n"/>
    </row>
    <row r="69">
      <c r="A69" s="9" t="n">
        <v>445276</v>
      </c>
      <c r="B69" s="9" t="inlineStr">
        <is>
          <t>Kenley Jansen</t>
        </is>
      </c>
      <c r="C69" s="9" t="inlineStr">
        <is>
          <t>DET</t>
        </is>
      </c>
      <c r="D69" s="9" t="n">
        <v>39</v>
      </c>
      <c r="E69" s="17" t="inlineStr">
        <is>
          <t>R</t>
        </is>
      </c>
      <c r="F69" s="17" t="n"/>
      <c r="G69" s="9" t="n">
        <v>62</v>
      </c>
      <c r="H69" s="9" t="n">
        <v>962</v>
      </c>
      <c r="I69" s="9" t="inlineStr">
        <is>
          <t>Bullpen Depth Arm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</f>
        <v/>
      </c>
      <c r="AD69" s="15">
        <f>SUMPRODUCT(M69:X69,$M$6:$X$6)</f>
        <v/>
      </c>
      <c r="AE69" s="19" t="n"/>
    </row>
    <row r="70">
      <c r="A70" s="9" t="n">
        <v>600917</v>
      </c>
      <c r="B70" s="9" t="inlineStr">
        <is>
          <t>José Leclerc</t>
        </is>
      </c>
      <c r="C70" s="9" t="inlineStr">
        <is>
          <t>OAK</t>
        </is>
      </c>
      <c r="D70" s="9" t="n">
        <v>33</v>
      </c>
      <c r="E70" s="17" t="inlineStr">
        <is>
          <t>R</t>
        </is>
      </c>
      <c r="F70" s="17" t="n"/>
      <c r="G70" s="9" t="n">
        <v>46</v>
      </c>
      <c r="H70" s="9" t="n">
        <v>765</v>
      </c>
      <c r="I70" s="9" t="inlineStr">
        <is>
          <t>Middle Relief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</f>
        <v/>
      </c>
      <c r="AD70" s="15">
        <f>SUMPRODUCT(M70:X70,$M$6:$X$6)</f>
        <v/>
      </c>
      <c r="AE70" s="19" t="n"/>
    </row>
    <row r="71">
      <c r="A71" s="9" t="n">
        <v>680755</v>
      </c>
      <c r="B71" s="9" t="inlineStr">
        <is>
          <t>Braydon Fisher</t>
        </is>
      </c>
      <c r="C71" s="9" t="inlineStr">
        <is>
          <t>TOR</t>
        </is>
      </c>
      <c r="D71" s="9" t="n">
        <v>26</v>
      </c>
      <c r="E71" s="17" t="inlineStr">
        <is>
          <t>R</t>
        </is>
      </c>
      <c r="F71" s="17" t="n"/>
      <c r="G71" s="9" t="n">
        <v>134</v>
      </c>
      <c r="H71" s="9" t="n">
        <v>336</v>
      </c>
      <c r="I71" s="9" t="inlineStr">
        <is>
          <t>Closer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</f>
        <v/>
      </c>
      <c r="AD71" s="15">
        <f>SUMPRODUCT(M71:X71,$M$6:$X$6)</f>
        <v/>
      </c>
      <c r="AE71" s="19" t="n"/>
    </row>
    <row r="72">
      <c r="A72" s="9" t="n">
        <v>643410</v>
      </c>
      <c r="B72" s="9" t="inlineStr">
        <is>
          <t>Mark Leiter Jr.</t>
        </is>
      </c>
      <c r="C72" s="9" t="inlineStr">
        <is>
          <t>OAK</t>
        </is>
      </c>
      <c r="D72" s="9" t="n">
        <v>36</v>
      </c>
      <c r="E72" s="17" t="inlineStr">
        <is>
          <t>R</t>
        </is>
      </c>
      <c r="F72" s="17" t="n"/>
      <c r="G72" s="9" t="n">
        <v>120</v>
      </c>
      <c r="H72" s="9" t="n">
        <v>1146</v>
      </c>
      <c r="I72" s="9" t="inlineStr">
        <is>
          <t>Closer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</f>
        <v/>
      </c>
      <c r="AD72" s="15">
        <f>SUMPRODUCT(M72:X72,$M$6:$X$6)</f>
        <v/>
      </c>
      <c r="AE72" s="19" t="n"/>
    </row>
    <row r="73">
      <c r="A73" s="9" t="n">
        <v>666200</v>
      </c>
      <c r="B73" s="9" t="inlineStr">
        <is>
          <t>Jesús Luzardo</t>
        </is>
      </c>
      <c r="C73" s="9" t="inlineStr">
        <is>
          <t>PHI</t>
        </is>
      </c>
      <c r="D73" s="9" t="n">
        <v>29</v>
      </c>
      <c r="E73" s="17" t="inlineStr">
        <is>
          <t>L</t>
        </is>
      </c>
      <c r="F73" s="17" t="n"/>
      <c r="G73" s="9" t="n">
        <v>312</v>
      </c>
      <c r="H73" s="9" t="n">
        <v>2485</v>
      </c>
      <c r="I73" s="9" t="inlineStr">
        <is>
          <t>Mid-Rotation Starter (SP2-3)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</f>
        <v/>
      </c>
      <c r="AD73" s="15">
        <f>SUMPRODUCT(M73:X73,$M$6:$X$6)</f>
        <v/>
      </c>
      <c r="AE73" s="19" t="n"/>
    </row>
    <row r="74">
      <c r="A74" s="9" t="n">
        <v>690997</v>
      </c>
      <c r="B74" s="9" t="inlineStr">
        <is>
          <t>Nolan McLean</t>
        </is>
      </c>
      <c r="C74" s="9" t="inlineStr">
        <is>
          <t>NYM</t>
        </is>
      </c>
      <c r="D74" s="9" t="n">
        <v>25</v>
      </c>
      <c r="E74" s="17" t="inlineStr">
        <is>
          <t>R</t>
        </is>
      </c>
      <c r="F74" s="17" t="n"/>
      <c r="G74" s="9" t="n">
        <v>299</v>
      </c>
      <c r="H74" s="9" t="n">
        <v>487</v>
      </c>
      <c r="I74" s="9" t="inlineStr">
        <is>
          <t>Mid-Rotation Starter (SP2-3)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</f>
        <v/>
      </c>
      <c r="AD74" s="15">
        <f>SUMPRODUCT(M74:X74,$M$6:$X$6)</f>
        <v/>
      </c>
      <c r="AE74" s="19" t="n"/>
    </row>
    <row r="75">
      <c r="A75" s="9" t="n">
        <v>691587</v>
      </c>
      <c r="B75" s="9" t="inlineStr">
        <is>
          <t>Eury Pérez</t>
        </is>
      </c>
      <c r="C75" s="9" t="inlineStr">
        <is>
          <t>MIA</t>
        </is>
      </c>
      <c r="D75" s="9" t="n">
        <v>24</v>
      </c>
      <c r="E75" s="17" t="inlineStr">
        <is>
          <t>R</t>
        </is>
      </c>
      <c r="F75" s="17" t="n"/>
      <c r="G75" s="9" t="n">
        <v>265</v>
      </c>
      <c r="H75" s="9" t="n">
        <v>1024</v>
      </c>
      <c r="I75" s="9" t="inlineStr">
        <is>
          <t>End-of-Rotation Starter (SP4-5)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</f>
        <v/>
      </c>
      <c r="AD75" s="15">
        <f>SUMPRODUCT(M75:X75,$M$6:$X$6)</f>
        <v/>
      </c>
      <c r="AE75" s="19" t="n"/>
    </row>
    <row r="76">
      <c r="A76" s="9" t="n">
        <v>678495</v>
      </c>
      <c r="B76" s="9" t="inlineStr">
        <is>
          <t>Randy Rodríguez</t>
        </is>
      </c>
      <c r="C76" s="9" t="inlineStr">
        <is>
          <t>SF</t>
        </is>
      </c>
      <c r="D76" s="9" t="n">
        <v>27</v>
      </c>
      <c r="E76" s="17" t="inlineStr">
        <is>
          <t>R</t>
        </is>
      </c>
      <c r="F76" s="17" t="n"/>
      <c r="G76" s="9" t="n">
        <v>198</v>
      </c>
      <c r="H76" s="9" t="n">
        <v>419</v>
      </c>
      <c r="I76" s="9" t="inlineStr">
        <is>
          <t>Closer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</f>
        <v/>
      </c>
      <c r="AD76" s="15">
        <f>SUMPRODUCT(M76:X76,$M$6:$X$6)</f>
        <v/>
      </c>
      <c r="AE76" s="19" t="n"/>
    </row>
    <row r="77">
      <c r="A77" s="9" t="n">
        <v>607074</v>
      </c>
      <c r="B77" s="9" t="inlineStr">
        <is>
          <t>Carlos Rodón</t>
        </is>
      </c>
      <c r="C77" s="9" t="inlineStr">
        <is>
          <t>NYY</t>
        </is>
      </c>
      <c r="D77" s="9" t="n">
        <v>34</v>
      </c>
      <c r="E77" s="17" t="inlineStr">
        <is>
          <t>L</t>
        </is>
      </c>
      <c r="F77" s="17" t="n"/>
      <c r="G77" s="9" t="n">
        <v>104</v>
      </c>
      <c r="H77" s="9" t="n">
        <v>2625</v>
      </c>
      <c r="I77" s="9" t="inlineStr">
        <is>
          <t>Mid-Rotation Starter (SP2-3)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</f>
        <v/>
      </c>
      <c r="AD77" s="15">
        <f>SUMPRODUCT(M77:X77,$M$6:$X$6)</f>
        <v/>
      </c>
      <c r="AE77" s="19" t="n"/>
    </row>
    <row r="78">
      <c r="A78" s="9" t="n">
        <v>641329</v>
      </c>
      <c r="B78" s="9" t="inlineStr">
        <is>
          <t>Bryan Baker</t>
        </is>
      </c>
      <c r="C78" s="9" t="inlineStr">
        <is>
          <t>TB</t>
        </is>
      </c>
      <c r="D78" s="9" t="n">
        <v>32</v>
      </c>
      <c r="E78" s="17" t="inlineStr">
        <is>
          <t>R</t>
        </is>
      </c>
      <c r="F78" s="17" t="n"/>
      <c r="G78" s="9" t="n">
        <v>109</v>
      </c>
      <c r="H78" s="9" t="n">
        <v>953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</f>
        <v/>
      </c>
      <c r="AD78" s="15">
        <f>SUMPRODUCT(M78:X78,$M$6:$X$6)</f>
        <v/>
      </c>
      <c r="AE78" s="19" t="n"/>
    </row>
    <row r="79">
      <c r="A79" s="9" t="n">
        <v>596112</v>
      </c>
      <c r="B79" s="9" t="inlineStr">
        <is>
          <t>Robert Stephenson</t>
        </is>
      </c>
      <c r="C79" s="9" t="inlineStr">
        <is>
          <t>LAA</t>
        </is>
      </c>
      <c r="D79" s="9" t="n">
        <v>34</v>
      </c>
      <c r="E79" s="17" t="inlineStr">
        <is>
          <t>R</t>
        </is>
      </c>
      <c r="F79" s="17" t="n"/>
      <c r="G79" s="9" t="n">
        <v>42</v>
      </c>
      <c r="H79" s="9" t="n">
        <v>490</v>
      </c>
      <c r="I79" s="9" t="inlineStr">
        <is>
          <t>Closer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</f>
        <v/>
      </c>
      <c r="AD79" s="15">
        <f>SUMPRODUCT(M79:X79,$M$6:$X$6)</f>
        <v/>
      </c>
      <c r="AE79" s="19" t="n"/>
    </row>
    <row r="80">
      <c r="A80" s="9" t="n">
        <v>682842</v>
      </c>
      <c r="B80" s="9" t="inlineStr">
        <is>
          <t>Abner Uribe</t>
        </is>
      </c>
      <c r="C80" s="9" t="inlineStr">
        <is>
          <t>MIL</t>
        </is>
      </c>
      <c r="D80" s="9" t="n">
        <v>27</v>
      </c>
      <c r="E80" s="17" t="inlineStr">
        <is>
          <t>R</t>
        </is>
      </c>
      <c r="F80" s="17" t="n"/>
      <c r="G80" s="9" t="n">
        <v>100</v>
      </c>
      <c r="H80" s="9" t="n">
        <v>591</v>
      </c>
      <c r="I80" s="9" t="inlineStr">
        <is>
          <t>Late Inning RP (Setup)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</f>
        <v/>
      </c>
      <c r="AD80" s="15">
        <f>SUMPRODUCT(M80:X80,$M$6:$X$6)</f>
        <v/>
      </c>
      <c r="AE80" s="19" t="n"/>
    </row>
    <row r="81">
      <c r="A81" s="9" t="n">
        <v>681895</v>
      </c>
      <c r="B81" s="9" t="inlineStr">
        <is>
          <t>Evan Sisk</t>
        </is>
      </c>
      <c r="C81" s="9" t="inlineStr">
        <is>
          <t>PIT</t>
        </is>
      </c>
      <c r="D81" s="9" t="n">
        <v>30</v>
      </c>
      <c r="E81" s="17" t="inlineStr">
        <is>
          <t>L</t>
        </is>
      </c>
      <c r="F81" s="17" t="n"/>
      <c r="G81" s="9" t="n">
        <v>111</v>
      </c>
      <c r="H81" s="9" t="n">
        <v>191</v>
      </c>
      <c r="I81" s="9" t="inlineStr">
        <is>
          <t>Middle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</f>
        <v/>
      </c>
      <c r="AD81" s="15">
        <f>SUMPRODUCT(M81:X81,$M$6:$X$6)</f>
        <v/>
      </c>
      <c r="AE81" s="19" t="n"/>
    </row>
    <row r="82">
      <c r="A82" s="9" t="n">
        <v>686613</v>
      </c>
      <c r="B82" s="9" t="inlineStr">
        <is>
          <t>Hunter Brown</t>
        </is>
      </c>
      <c r="C82" s="9" t="inlineStr">
        <is>
          <t>HOU</t>
        </is>
      </c>
      <c r="D82" s="9" t="n">
        <v>28</v>
      </c>
      <c r="E82" s="17" t="inlineStr">
        <is>
          <t>R</t>
        </is>
      </c>
      <c r="F82" s="17" t="n"/>
      <c r="G82" s="9" t="n">
        <v>43</v>
      </c>
      <c r="H82" s="9" t="n">
        <v>2229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</f>
        <v/>
      </c>
      <c r="AD82" s="15">
        <f>SUMPRODUCT(M82:X82,$M$6:$X$6)</f>
        <v/>
      </c>
      <c r="AE82" s="19" t="n"/>
    </row>
    <row r="83">
      <c r="A83" s="9" t="n">
        <v>678692</v>
      </c>
      <c r="B83" s="9" t="inlineStr">
        <is>
          <t>Ronny Henriquez</t>
        </is>
      </c>
      <c r="C83" s="9" t="inlineStr">
        <is>
          <t>MIA</t>
        </is>
      </c>
      <c r="D83" s="9" t="n">
        <v>27</v>
      </c>
      <c r="E83" s="17" t="inlineStr">
        <is>
          <t>R</t>
        </is>
      </c>
      <c r="F83" s="17" t="n"/>
      <c r="G83" s="9" t="n">
        <v>303</v>
      </c>
      <c r="H83" s="9" t="n">
        <v>435</v>
      </c>
      <c r="I83" s="9" t="inlineStr">
        <is>
          <t>Middle Relief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</f>
        <v/>
      </c>
      <c r="AD83" s="15">
        <f>SUMPRODUCT(M83:X83,$M$6:$X$6)</f>
        <v/>
      </c>
      <c r="AE83" s="19" t="n"/>
    </row>
    <row r="84">
      <c r="A84" s="9" t="n">
        <v>693645</v>
      </c>
      <c r="B84" s="9" t="inlineStr">
        <is>
          <t>Cam Schlittler</t>
        </is>
      </c>
      <c r="C84" s="9" t="inlineStr">
        <is>
          <t>NYY</t>
        </is>
      </c>
      <c r="D84" s="9" t="n">
        <v>26</v>
      </c>
      <c r="E84" s="17" t="inlineStr">
        <is>
          <t>R</t>
        </is>
      </c>
      <c r="F84" s="17" t="n"/>
      <c r="G84" s="9" t="n">
        <v>317</v>
      </c>
      <c r="H84" s="9" t="n">
        <v>621</v>
      </c>
      <c r="I84" s="9" t="inlineStr">
        <is>
          <t>Mid-Rotation Starter (SP2-3)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</f>
        <v/>
      </c>
      <c r="AD84" s="15">
        <f>SUMPRODUCT(M84:X84,$M$6:$X$6)</f>
        <v/>
      </c>
      <c r="AE84" s="19" t="n"/>
    </row>
    <row r="85">
      <c r="A85" s="9" t="n">
        <v>521230</v>
      </c>
      <c r="B85" s="9" t="inlineStr">
        <is>
          <t>Liam Hendriks</t>
        </is>
      </c>
      <c r="C85" s="9" t="inlineStr">
        <is>
          <t>BOS</t>
        </is>
      </c>
      <c r="D85" s="9" t="n">
        <v>38</v>
      </c>
      <c r="E85" s="17" t="inlineStr">
        <is>
          <t>R</t>
        </is>
      </c>
      <c r="F85" s="17" t="n"/>
      <c r="G85" s="9" t="n">
        <v>59</v>
      </c>
      <c r="H85" s="9" t="n">
        <v>314</v>
      </c>
      <c r="I85" s="9" t="inlineStr">
        <is>
          <t>Bullpen Depth Arm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</f>
        <v/>
      </c>
      <c r="AD85" s="15">
        <f>SUMPRODUCT(M85:X85,$M$6:$X$6)</f>
        <v/>
      </c>
      <c r="AE85" s="19" t="n"/>
    </row>
    <row r="86">
      <c r="A86" s="9" t="n">
        <v>572955</v>
      </c>
      <c r="B86" s="9" t="inlineStr">
        <is>
          <t>Pierce Johnson</t>
        </is>
      </c>
      <c r="C86" s="9" t="inlineStr">
        <is>
          <t>CIN</t>
        </is>
      </c>
      <c r="D86" s="9" t="n">
        <v>36</v>
      </c>
      <c r="E86" s="17" t="inlineStr">
        <is>
          <t>R</t>
        </is>
      </c>
      <c r="F86" s="17" t="n"/>
      <c r="G86" s="9" t="n">
        <v>92</v>
      </c>
      <c r="H86" s="9" t="n">
        <v>907</v>
      </c>
      <c r="I86" s="9" t="inlineStr">
        <is>
          <t>Middle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</f>
        <v/>
      </c>
      <c r="AD86" s="15">
        <f>SUMPRODUCT(M86:X86,$M$6:$X$6)</f>
        <v/>
      </c>
      <c r="AE86" s="19" t="n"/>
    </row>
    <row r="87">
      <c r="A87" s="9" t="n">
        <v>663558</v>
      </c>
      <c r="B87" s="9" t="inlineStr">
        <is>
          <t>Jovani Morán</t>
        </is>
      </c>
      <c r="C87" s="9" t="inlineStr">
        <is>
          <t>BOS</t>
        </is>
      </c>
      <c r="D87" s="9" t="n">
        <v>30</v>
      </c>
      <c r="E87" s="17" t="inlineStr">
        <is>
          <t>L</t>
        </is>
      </c>
      <c r="F87" s="17" t="n"/>
      <c r="G87" s="9" t="n">
        <v>134</v>
      </c>
      <c r="H87" s="9" t="n">
        <v>502</v>
      </c>
      <c r="I87" s="9" t="inlineStr">
        <is>
          <t>Bullpen Depth Arm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</f>
        <v/>
      </c>
      <c r="AD87" s="15">
        <f>SUMPRODUCT(M87:X87,$M$6:$X$6)</f>
        <v/>
      </c>
      <c r="AE87" s="19" t="n"/>
    </row>
    <row r="88">
      <c r="A88" s="9" t="n">
        <v>686218</v>
      </c>
      <c r="B88" s="9" t="inlineStr">
        <is>
          <t>Emmet Sheehan</t>
        </is>
      </c>
      <c r="C88" s="9" t="inlineStr">
        <is>
          <t>LAD</t>
        </is>
      </c>
      <c r="D88" s="9" t="n">
        <v>27</v>
      </c>
      <c r="E88" s="17" t="inlineStr">
        <is>
          <t>R</t>
        </is>
      </c>
      <c r="F88" s="17" t="n"/>
      <c r="G88" s="9" t="n">
        <v>248</v>
      </c>
      <c r="H88" s="9" t="n">
        <v>787</v>
      </c>
      <c r="I88" s="9" t="inlineStr">
        <is>
          <t>End-of-Rotation Starter (SP4-5)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</f>
        <v/>
      </c>
      <c r="AD88" s="15">
        <f>SUMPRODUCT(M88:X88,$M$6:$X$6)</f>
        <v/>
      </c>
      <c r="AE88" s="19" t="n"/>
    </row>
    <row r="89">
      <c r="A89" s="9" t="n">
        <v>676477</v>
      </c>
      <c r="B89" s="9" t="inlineStr">
        <is>
          <t>Garrett Whitlock</t>
        </is>
      </c>
      <c r="C89" s="9" t="inlineStr">
        <is>
          <t>BOS</t>
        </is>
      </c>
      <c r="D89" s="9" t="n">
        <v>31</v>
      </c>
      <c r="E89" s="17" t="inlineStr">
        <is>
          <t>R</t>
        </is>
      </c>
      <c r="F89" s="17" t="n"/>
      <c r="G89" s="9" t="n">
        <v>85</v>
      </c>
      <c r="H89" s="9" t="n">
        <v>1068</v>
      </c>
      <c r="I89" s="9" t="inlineStr">
        <is>
          <t>Late Inning RP (Setup)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</f>
        <v/>
      </c>
      <c r="AD89" s="15">
        <f>SUMPRODUCT(M89:X89,$M$6:$X$6)</f>
        <v/>
      </c>
      <c r="AE89" s="19" t="n"/>
    </row>
    <row r="90">
      <c r="A90" s="9" t="n">
        <v>687863</v>
      </c>
      <c r="B90" s="9" t="inlineStr">
        <is>
          <t>Porter Hodge</t>
        </is>
      </c>
      <c r="C90" s="9" t="inlineStr">
        <is>
          <t>CHC</t>
        </is>
      </c>
      <c r="D90" s="9" t="n">
        <v>26</v>
      </c>
      <c r="E90" s="17" t="inlineStr">
        <is>
          <t>R</t>
        </is>
      </c>
      <c r="F90" s="17" t="n"/>
      <c r="G90" s="9" t="n">
        <v>147</v>
      </c>
      <c r="H90" s="9" t="n">
        <v>311</v>
      </c>
      <c r="I90" s="9" t="inlineStr">
        <is>
          <t>Middle Relief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</f>
        <v/>
      </c>
      <c r="AD90" s="15">
        <f>SUMPRODUCT(M90:X90,$M$6:$X$6)</f>
        <v/>
      </c>
      <c r="AE90" s="19" t="n"/>
    </row>
    <row r="91">
      <c r="A91" s="9" t="n">
        <v>622554</v>
      </c>
      <c r="B91" s="9" t="inlineStr">
        <is>
          <t>Seranthony Domínguez</t>
        </is>
      </c>
      <c r="C91" s="9" t="inlineStr">
        <is>
          <t>CWS</t>
        </is>
      </c>
      <c r="D91" s="9" t="n">
        <v>32</v>
      </c>
      <c r="E91" s="17" t="inlineStr">
        <is>
          <t>R</t>
        </is>
      </c>
      <c r="F91" s="17" t="n"/>
      <c r="G91" s="9" t="n">
        <v>102</v>
      </c>
      <c r="H91" s="9" t="n">
        <v>1049</v>
      </c>
      <c r="I91" s="9" t="inlineStr">
        <is>
          <t>Late Inning RP (Setup)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</f>
        <v/>
      </c>
      <c r="AD91" s="15">
        <f>SUMPRODUCT(M91:X91,$M$6:$X$6)</f>
        <v/>
      </c>
      <c r="AE91" s="19" t="n"/>
    </row>
    <row r="92">
      <c r="A92" s="9" t="n">
        <v>650633</v>
      </c>
      <c r="B92" s="9" t="inlineStr">
        <is>
          <t>Michael King</t>
        </is>
      </c>
      <c r="C92" s="9" t="inlineStr">
        <is>
          <t>SD</t>
        </is>
      </c>
      <c r="D92" s="9" t="n">
        <v>32</v>
      </c>
      <c r="E92" s="17" t="inlineStr">
        <is>
          <t>R</t>
        </is>
      </c>
      <c r="F92" s="17" t="n"/>
      <c r="G92" s="9" t="n">
        <v>296</v>
      </c>
      <c r="H92" s="9" t="n">
        <v>1960</v>
      </c>
      <c r="I92" s="9" t="inlineStr">
        <is>
          <t>Mid-Rotation Starter (SP2-3)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</f>
        <v/>
      </c>
      <c r="AD92" s="15">
        <f>SUMPRODUCT(M92:X92,$M$6:$X$6)</f>
        <v/>
      </c>
      <c r="AE92" s="19" t="n"/>
    </row>
    <row r="93">
      <c r="A93" s="9" t="n">
        <v>664294</v>
      </c>
      <c r="B93" s="9" t="inlineStr">
        <is>
          <t>Dauri Moreta</t>
        </is>
      </c>
      <c r="C93" s="9" t="inlineStr">
        <is>
          <t>PIT</t>
        </is>
      </c>
      <c r="D93" s="9" t="n">
        <v>31</v>
      </c>
      <c r="E93" s="17" t="inlineStr">
        <is>
          <t>R</t>
        </is>
      </c>
      <c r="F93" s="17" t="n"/>
      <c r="G93" s="9" t="n">
        <v>68</v>
      </c>
      <c r="H93" s="9" t="n">
        <v>467</v>
      </c>
      <c r="I93" s="9" t="inlineStr">
        <is>
          <t>Late Inning RP (Setup)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</f>
        <v/>
      </c>
      <c r="AD93" s="15">
        <f>SUMPRODUCT(M93:X93,$M$6:$X$6)</f>
        <v/>
      </c>
      <c r="AE93" s="19" t="n"/>
    </row>
    <row r="94">
      <c r="A94" s="9" t="n">
        <v>666808</v>
      </c>
      <c r="B94" s="9" t="inlineStr">
        <is>
          <t>Camilo Doval</t>
        </is>
      </c>
      <c r="C94" s="9" t="inlineStr">
        <is>
          <t>NYY</t>
        </is>
      </c>
      <c r="D94" s="9" t="n">
        <v>29</v>
      </c>
      <c r="E94" s="17" t="inlineStr">
        <is>
          <t>R</t>
        </is>
      </c>
      <c r="F94" s="17" t="n"/>
      <c r="G94" s="9" t="n">
        <v>103</v>
      </c>
      <c r="H94" s="9" t="n">
        <v>1219</v>
      </c>
      <c r="I94" s="9" t="inlineStr">
        <is>
          <t>Middle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</f>
        <v/>
      </c>
      <c r="AD94" s="15">
        <f>SUMPRODUCT(M94:X94,$M$6:$X$6)</f>
        <v/>
      </c>
      <c r="AE94" s="19" t="n"/>
    </row>
    <row r="95">
      <c r="A95" s="9" t="n">
        <v>592094</v>
      </c>
      <c r="B95" s="9" t="inlineStr">
        <is>
          <t>Jason Adam</t>
        </is>
      </c>
      <c r="C95" s="9" t="inlineStr">
        <is>
          <t>SD</t>
        </is>
      </c>
      <c r="D95" s="9" t="n">
        <v>35</v>
      </c>
      <c r="E95" s="17" t="inlineStr">
        <is>
          <t>R</t>
        </is>
      </c>
      <c r="F95" s="17" t="n"/>
      <c r="G95" s="9" t="n">
        <v>100</v>
      </c>
      <c r="H95" s="9" t="n">
        <v>1111</v>
      </c>
      <c r="I95" s="9" t="inlineStr">
        <is>
          <t>Middle Relief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</f>
        <v/>
      </c>
      <c r="AD95" s="15">
        <f>SUMPRODUCT(M95:X95,$M$6:$X$6)</f>
        <v/>
      </c>
      <c r="AE95" s="19" t="n"/>
    </row>
    <row r="96">
      <c r="A96" s="9" t="n">
        <v>672282</v>
      </c>
      <c r="B96" s="9" t="inlineStr">
        <is>
          <t>Reid Detmers</t>
        </is>
      </c>
      <c r="C96" s="9" t="inlineStr">
        <is>
          <t>LAA</t>
        </is>
      </c>
      <c r="D96" s="9" t="n">
        <v>27</v>
      </c>
      <c r="E96" s="17" t="inlineStr">
        <is>
          <t>L</t>
        </is>
      </c>
      <c r="F96" s="17" t="n"/>
      <c r="G96" s="9" t="n">
        <v>309</v>
      </c>
      <c r="H96" s="9" t="n">
        <v>2149</v>
      </c>
      <c r="I96" s="9" t="inlineStr">
        <is>
          <t>End-of-Rotation Starter (SP4-5)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</f>
        <v/>
      </c>
      <c r="AD96" s="15">
        <f>SUMPRODUCT(M96:X96,$M$6:$X$6)</f>
        <v/>
      </c>
      <c r="AE96" s="19" t="n"/>
    </row>
    <row r="97">
      <c r="A97" s="9" t="n">
        <v>669302</v>
      </c>
      <c r="B97" s="9" t="inlineStr">
        <is>
          <t>Logan Gilbert</t>
        </is>
      </c>
      <c r="C97" s="9" t="inlineStr">
        <is>
          <t>SEA</t>
        </is>
      </c>
      <c r="D97" s="9" t="n">
        <v>30</v>
      </c>
      <c r="E97" s="17" t="inlineStr">
        <is>
          <t>R</t>
        </is>
      </c>
      <c r="F97" s="17" t="n"/>
      <c r="G97" s="9" t="n">
        <v>321</v>
      </c>
      <c r="H97" s="9" t="n">
        <v>3195</v>
      </c>
      <c r="I97" s="9" t="inlineStr">
        <is>
          <t>Ace (SP1)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</f>
        <v/>
      </c>
      <c r="AD97" s="15">
        <f>SUMPRODUCT(M97:X97,$M$6:$X$6)</f>
        <v/>
      </c>
      <c r="AE97" s="19" t="n"/>
    </row>
    <row r="98">
      <c r="A98" s="9" t="n">
        <v>593576</v>
      </c>
      <c r="B98" s="9" t="inlineStr">
        <is>
          <t>Héctor Neris</t>
        </is>
      </c>
      <c r="C98" s="9" t="inlineStr">
        <is>
          <t>HOU</t>
        </is>
      </c>
      <c r="D98" s="9" t="n">
        <v>38</v>
      </c>
      <c r="E98" s="17" t="inlineStr">
        <is>
          <t>R</t>
        </is>
      </c>
      <c r="F98" s="17" t="n"/>
      <c r="G98" s="9" t="n">
        <v>124</v>
      </c>
      <c r="H98" s="9" t="n">
        <v>920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</f>
        <v/>
      </c>
      <c r="AD98" s="15">
        <f>SUMPRODUCT(M98:X98,$M$6:$X$6)</f>
        <v/>
      </c>
      <c r="AE98" s="19" t="n"/>
    </row>
    <row r="99">
      <c r="A99" s="9" t="n">
        <v>641941</v>
      </c>
      <c r="B99" s="9" t="inlineStr">
        <is>
          <t>Emilio Pagán</t>
        </is>
      </c>
      <c r="C99" s="9" t="inlineStr">
        <is>
          <t>CIN</t>
        </is>
      </c>
      <c r="D99" s="9" t="n">
        <v>36</v>
      </c>
      <c r="E99" s="17" t="inlineStr">
        <is>
          <t>R</t>
        </is>
      </c>
      <c r="F99" s="17" t="n"/>
      <c r="G99" s="9" t="n">
        <v>62</v>
      </c>
      <c r="H99" s="9" t="n">
        <v>1037</v>
      </c>
      <c r="I99" s="9" t="inlineStr">
        <is>
          <t>Late Inning RP (Setup)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</f>
        <v/>
      </c>
      <c r="AD99" s="15">
        <f>SUMPRODUCT(M99:X99,$M$6:$X$6)</f>
        <v/>
      </c>
      <c r="AE99" s="19" t="n"/>
    </row>
    <row r="100">
      <c r="A100" s="9" t="n">
        <v>554340</v>
      </c>
      <c r="B100" s="9" t="inlineStr">
        <is>
          <t>Yimi García</t>
        </is>
      </c>
      <c r="C100" s="9" t="inlineStr">
        <is>
          <t>TOR</t>
        </is>
      </c>
      <c r="D100" s="9" t="n">
        <v>36</v>
      </c>
      <c r="E100" s="17" t="inlineStr">
        <is>
          <t>R</t>
        </is>
      </c>
      <c r="F100" s="17" t="n"/>
      <c r="G100" s="9" t="n">
        <v>90</v>
      </c>
      <c r="H100" s="9" t="n">
        <v>772</v>
      </c>
      <c r="I100" s="9" t="inlineStr">
        <is>
          <t>Middle Relief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</f>
        <v/>
      </c>
      <c r="AD100" s="15">
        <f>SUMPRODUCT(M100:X100,$M$6:$X$6)</f>
        <v/>
      </c>
      <c r="AE100" s="19" t="n"/>
    </row>
    <row r="101">
      <c r="A101" s="9" t="n">
        <v>595014</v>
      </c>
      <c r="B101" s="9" t="inlineStr">
        <is>
          <t>Blake Treinen</t>
        </is>
      </c>
      <c r="C101" s="9" t="inlineStr">
        <is>
          <t>LAD</t>
        </is>
      </c>
      <c r="D101" s="9" t="n">
        <v>39</v>
      </c>
      <c r="E101" s="17" t="inlineStr">
        <is>
          <t>R</t>
        </is>
      </c>
      <c r="F101" s="17" t="n"/>
      <c r="G101" s="9" t="n">
        <v>89</v>
      </c>
      <c r="H101" s="9" t="n">
        <v>419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</f>
        <v/>
      </c>
      <c r="AD101" s="15">
        <f>SUMPRODUCT(M101:X101,$M$6:$X$6)</f>
        <v/>
      </c>
      <c r="AE101" s="19" t="n"/>
    </row>
    <row r="102">
      <c r="A102" s="9" t="n">
        <v>605177</v>
      </c>
      <c r="B102" s="9" t="inlineStr">
        <is>
          <t>Andrew Chafin</t>
        </is>
      </c>
      <c r="C102" s="9" t="inlineStr">
        <is>
          <t>LAA</t>
        </is>
      </c>
      <c r="D102" s="9" t="n">
        <v>37</v>
      </c>
      <c r="E102" s="17" t="inlineStr">
        <is>
          <t>L</t>
        </is>
      </c>
      <c r="F102" s="17" t="n"/>
      <c r="G102" s="9" t="n">
        <v>143</v>
      </c>
      <c r="H102" s="9" t="n">
        <v>856</v>
      </c>
      <c r="I102" s="9" t="inlineStr">
        <is>
          <t>Late Inning RP (Setup)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</f>
        <v/>
      </c>
      <c r="AD102" s="15">
        <f>SUMPRODUCT(M102:X102,$M$6:$X$6)</f>
        <v/>
      </c>
      <c r="AE102" s="19" t="n"/>
    </row>
    <row r="103">
      <c r="A103" s="9" t="n">
        <v>657585</v>
      </c>
      <c r="B103" s="9" t="inlineStr">
        <is>
          <t>Reed Garrett</t>
        </is>
      </c>
      <c r="C103" s="9" t="inlineStr">
        <is>
          <t>NYM</t>
        </is>
      </c>
      <c r="D103" s="9" t="n">
        <v>34</v>
      </c>
      <c r="E103" s="17" t="inlineStr">
        <is>
          <t>R</t>
        </is>
      </c>
      <c r="F103" s="17" t="n"/>
      <c r="G103" s="9" t="n">
        <v>238</v>
      </c>
      <c r="H103" s="9" t="n">
        <v>621</v>
      </c>
      <c r="I103" s="9" t="inlineStr">
        <is>
          <t>Middle Relief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</f>
        <v/>
      </c>
      <c r="AD103" s="15">
        <f>SUMPRODUCT(M103:X103,$M$6:$X$6)</f>
        <v/>
      </c>
      <c r="AE103" s="19" t="n"/>
    </row>
    <row r="104">
      <c r="A104" s="9" t="n">
        <v>666171</v>
      </c>
      <c r="B104" s="9" t="inlineStr">
        <is>
          <t>Ryan Zeferjahn</t>
        </is>
      </c>
      <c r="C104" s="9" t="inlineStr">
        <is>
          <t>LAA</t>
        </is>
      </c>
      <c r="D104" s="9" t="n">
        <v>29</v>
      </c>
      <c r="E104" s="17" t="inlineStr">
        <is>
          <t>R</t>
        </is>
      </c>
      <c r="F104" s="17" t="n"/>
      <c r="G104" s="9" t="n">
        <v>141</v>
      </c>
      <c r="H104" s="9" t="n">
        <v>462</v>
      </c>
      <c r="I104" s="9" t="inlineStr">
        <is>
          <t>Middle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</f>
        <v/>
      </c>
      <c r="AD104" s="15">
        <f>SUMPRODUCT(M104:X104,$M$6:$X$6)</f>
        <v/>
      </c>
      <c r="AE104" s="19" t="n"/>
    </row>
    <row r="105">
      <c r="A105" s="9" t="n">
        <v>573204</v>
      </c>
      <c r="B105" s="9" t="inlineStr">
        <is>
          <t>Caleb Thielbar</t>
        </is>
      </c>
      <c r="C105" s="9" t="inlineStr">
        <is>
          <t>CHC</t>
        </is>
      </c>
      <c r="D105" s="9" t="n">
        <v>40</v>
      </c>
      <c r="E105" s="17" t="inlineStr">
        <is>
          <t>L</t>
        </is>
      </c>
      <c r="F105" s="17" t="n"/>
      <c r="G105" s="9" t="n">
        <v>66</v>
      </c>
      <c r="H105" s="9" t="n">
        <v>867</v>
      </c>
      <c r="I105" s="9" t="inlineStr">
        <is>
          <t>Closer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</f>
        <v/>
      </c>
      <c r="AD105" s="15">
        <f>SUMPRODUCT(M105:X105,$M$6:$X$6)</f>
        <v/>
      </c>
      <c r="AE105" s="19" t="n"/>
    </row>
    <row r="106">
      <c r="A106" s="9" t="n">
        <v>663556</v>
      </c>
      <c r="B106" s="9" t="inlineStr">
        <is>
          <t>Shane McClanahan</t>
        </is>
      </c>
      <c r="C106" s="9" t="inlineStr">
        <is>
          <t>TB</t>
        </is>
      </c>
      <c r="D106" s="9" t="n">
        <v>30</v>
      </c>
      <c r="E106" s="17" t="inlineStr">
        <is>
          <t>L</t>
        </is>
      </c>
      <c r="F106" s="17" t="n"/>
      <c r="G106" s="9" t="n">
        <v>247</v>
      </c>
      <c r="H106" s="9" t="n">
        <v>1357</v>
      </c>
      <c r="I106" s="9" t="inlineStr">
        <is>
          <t>Mid-Rotation Starter (SP2-3)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</f>
        <v/>
      </c>
      <c r="AD106" s="15">
        <f>SUMPRODUCT(M106:X106,$M$6:$X$6)</f>
        <v/>
      </c>
      <c r="AE106" s="19" t="n"/>
    </row>
    <row r="107">
      <c r="A107" s="9" t="n">
        <v>595345</v>
      </c>
      <c r="B107" s="9" t="inlineStr">
        <is>
          <t>Steven Okert</t>
        </is>
      </c>
      <c r="C107" s="9" t="inlineStr">
        <is>
          <t>HOU</t>
        </is>
      </c>
      <c r="D107" s="9" t="n">
        <v>35</v>
      </c>
      <c r="E107" s="17" t="inlineStr">
        <is>
          <t>L</t>
        </is>
      </c>
      <c r="F107" s="17" t="n"/>
      <c r="G107" s="9" t="n">
        <v>117</v>
      </c>
      <c r="H107" s="9" t="n">
        <v>1021</v>
      </c>
      <c r="I107" s="9" t="inlineStr">
        <is>
          <t>Late Inning RP (Setup)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</f>
        <v/>
      </c>
      <c r="AD107" s="15">
        <f>SUMPRODUCT(M107:X107,$M$6:$X$6)</f>
        <v/>
      </c>
      <c r="AE107" s="19" t="n"/>
    </row>
    <row r="108">
      <c r="A108" s="9" t="n">
        <v>656427</v>
      </c>
      <c r="B108" s="9" t="inlineStr">
        <is>
          <t>Jack Flaherty</t>
        </is>
      </c>
      <c r="C108" s="9" t="inlineStr">
        <is>
          <t>DET</t>
        </is>
      </c>
      <c r="D108" s="9" t="n">
        <v>31</v>
      </c>
      <c r="E108" s="17" t="inlineStr">
        <is>
          <t>R</t>
        </is>
      </c>
      <c r="F108" s="17" t="n"/>
      <c r="G108" s="9" t="n">
        <v>293</v>
      </c>
      <c r="H108" s="9" t="n">
        <v>2440</v>
      </c>
      <c r="I108" s="9" t="inlineStr">
        <is>
          <t>Mid-Rotation Starter (SP2-3)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</f>
        <v/>
      </c>
      <c r="AD108" s="15">
        <f>SUMPRODUCT(M108:X108,$M$6:$X$6)</f>
        <v/>
      </c>
      <c r="AE108" s="19" t="n"/>
    </row>
    <row r="109">
      <c r="A109" s="9" t="n">
        <v>687396</v>
      </c>
      <c r="B109" s="9" t="inlineStr">
        <is>
          <t>Brent Headrick</t>
        </is>
      </c>
      <c r="C109" s="9" t="inlineStr">
        <is>
          <t>NYY</t>
        </is>
      </c>
      <c r="D109" s="9" t="n">
        <v>29</v>
      </c>
      <c r="E109" s="17" t="inlineStr">
        <is>
          <t>L</t>
        </is>
      </c>
      <c r="F109" s="17" t="n"/>
      <c r="G109" s="9" t="n">
        <v>132</v>
      </c>
      <c r="H109" s="9" t="n">
        <v>354</v>
      </c>
      <c r="I109" s="9" t="inlineStr">
        <is>
          <t>Late Inning RP (Setup)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</f>
        <v/>
      </c>
      <c r="AD109" s="15">
        <f>SUMPRODUCT(M109:X109,$M$6:$X$6)</f>
        <v/>
      </c>
      <c r="AE109" s="19" t="n"/>
    </row>
    <row r="110">
      <c r="A110" s="9" t="n">
        <v>664849</v>
      </c>
      <c r="B110" s="9" t="inlineStr">
        <is>
          <t>Danny Young</t>
        </is>
      </c>
      <c r="C110" s="9" t="inlineStr">
        <is>
          <t>NYM</t>
        </is>
      </c>
      <c r="D110" s="9" t="n">
        <v>33</v>
      </c>
      <c r="E110" s="17" t="inlineStr">
        <is>
          <t>L</t>
        </is>
      </c>
      <c r="F110" s="17" t="n"/>
      <c r="G110" s="9" t="n">
        <v>37</v>
      </c>
      <c r="H110" s="9" t="n">
        <v>269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</f>
        <v/>
      </c>
      <c r="AD110" s="15">
        <f>SUMPRODUCT(M110:X110,$M$6:$X$6)</f>
        <v/>
      </c>
      <c r="AE110" s="19" t="n"/>
    </row>
    <row r="111">
      <c r="A111" s="9" t="n">
        <v>664208</v>
      </c>
      <c r="B111" s="9" t="inlineStr">
        <is>
          <t>Phil Maton</t>
        </is>
      </c>
      <c r="C111" s="9" t="inlineStr">
        <is>
          <t>CHC</t>
        </is>
      </c>
      <c r="D111" s="9" t="n">
        <v>34</v>
      </c>
      <c r="E111" s="17" t="inlineStr">
        <is>
          <t>R</t>
        </is>
      </c>
      <c r="F111" s="17" t="n"/>
      <c r="G111" s="9" t="n">
        <v>97</v>
      </c>
      <c r="H111" s="9" t="n">
        <v>1165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</f>
        <v/>
      </c>
      <c r="AD111" s="15">
        <f>SUMPRODUCT(M111:X111,$M$6:$X$6)</f>
        <v/>
      </c>
      <c r="AE111" s="19" t="n"/>
    </row>
    <row r="112">
      <c r="A112" s="9" t="n">
        <v>676254</v>
      </c>
      <c r="B112" s="9" t="inlineStr">
        <is>
          <t>Ryan Walker</t>
        </is>
      </c>
      <c r="C112" s="9" t="inlineStr">
        <is>
          <t>SF</t>
        </is>
      </c>
      <c r="D112" s="9" t="n">
        <v>31</v>
      </c>
      <c r="E112" s="17" t="inlineStr">
        <is>
          <t>R</t>
        </is>
      </c>
      <c r="F112" s="17" t="n"/>
      <c r="G112" s="9" t="n">
        <v>73</v>
      </c>
      <c r="H112" s="9" t="n">
        <v>910</v>
      </c>
      <c r="I112" s="9" t="inlineStr">
        <is>
          <t>Late Inning RP (Setup)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</f>
        <v/>
      </c>
      <c r="AD112" s="15">
        <f>SUMPRODUCT(M112:X112,$M$6:$X$6)</f>
        <v/>
      </c>
      <c r="AE112" s="19" t="n"/>
    </row>
    <row r="113">
      <c r="A113" s="9" t="n">
        <v>656638</v>
      </c>
      <c r="B113" s="9" t="inlineStr">
        <is>
          <t>Alex Lange</t>
        </is>
      </c>
      <c r="C113" s="9" t="inlineStr">
        <is>
          <t>KC</t>
        </is>
      </c>
      <c r="D113" s="9" t="n">
        <v>31</v>
      </c>
      <c r="E113" s="17" t="inlineStr">
        <is>
          <t>R</t>
        </is>
      </c>
      <c r="F113" s="17" t="n"/>
      <c r="G113" s="9" t="n">
        <v>128</v>
      </c>
      <c r="H113" s="9" t="n">
        <v>783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</f>
        <v/>
      </c>
      <c r="AD113" s="15">
        <f>SUMPRODUCT(M113:X113,$M$6:$X$6)</f>
        <v/>
      </c>
      <c r="AE113" s="19" t="n"/>
    </row>
    <row r="114">
      <c r="A114" s="9" t="n">
        <v>689254</v>
      </c>
      <c r="B114" s="9" t="inlineStr">
        <is>
          <t>Mason Fluharty</t>
        </is>
      </c>
      <c r="C114" s="9" t="inlineStr">
        <is>
          <t>TOR</t>
        </is>
      </c>
      <c r="D114" s="9" t="n">
        <v>25</v>
      </c>
      <c r="E114" s="17" t="inlineStr">
        <is>
          <t>L</t>
        </is>
      </c>
      <c r="F114" s="17" t="n"/>
      <c r="G114" s="9" t="n">
        <v>112</v>
      </c>
      <c r="H114" s="9" t="n">
        <v>327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</f>
        <v/>
      </c>
      <c r="AD114" s="15">
        <f>SUMPRODUCT(M114:X114,$M$6:$X$6)</f>
        <v/>
      </c>
      <c r="AE114" s="19" t="n"/>
    </row>
    <row r="115">
      <c r="A115" s="9" t="n">
        <v>664747</v>
      </c>
      <c r="B115" s="9" t="inlineStr">
        <is>
          <t>Alexis Díaz</t>
        </is>
      </c>
      <c r="C115" s="9" t="inlineStr">
        <is>
          <t>ATL</t>
        </is>
      </c>
      <c r="D115" s="9" t="n">
        <v>30</v>
      </c>
      <c r="E115" s="17" t="inlineStr">
        <is>
          <t>R</t>
        </is>
      </c>
      <c r="F115" s="17" t="n"/>
      <c r="G115" s="9" t="n">
        <v>85</v>
      </c>
      <c r="H115" s="9" t="n">
        <v>868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</f>
        <v/>
      </c>
      <c r="AD115" s="15">
        <f>SUMPRODUCT(M115:X115,$M$6:$X$6)</f>
        <v/>
      </c>
      <c r="AE115" s="19" t="n"/>
    </row>
    <row r="116">
      <c r="A116" s="9" t="n">
        <v>548384</v>
      </c>
      <c r="B116" s="9" t="inlineStr">
        <is>
          <t>Brooks Raley</t>
        </is>
      </c>
      <c r="C116" s="9" t="inlineStr">
        <is>
          <t>NYM</t>
        </is>
      </c>
      <c r="D116" s="9" t="n">
        <v>39</v>
      </c>
      <c r="E116" s="17" t="inlineStr">
        <is>
          <t>L</t>
        </is>
      </c>
      <c r="F116" s="17" t="n"/>
      <c r="G116" s="9" t="n">
        <v>103</v>
      </c>
      <c r="H116" s="9" t="n">
        <v>682</v>
      </c>
      <c r="I116" s="9" t="inlineStr">
        <is>
          <t>Late Inning RP (Setup)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</f>
        <v/>
      </c>
      <c r="AD116" s="15">
        <f>SUMPRODUCT(M116:X116,$M$6:$X$6)</f>
        <v/>
      </c>
      <c r="AE116" s="19" t="n"/>
    </row>
    <row r="117">
      <c r="A117" s="9" t="n">
        <v>605447</v>
      </c>
      <c r="B117" s="9" t="inlineStr">
        <is>
          <t>Jordan Romano</t>
        </is>
      </c>
      <c r="C117" s="9" t="inlineStr">
        <is>
          <t>LAA</t>
        </is>
      </c>
      <c r="D117" s="9" t="n">
        <v>34</v>
      </c>
      <c r="E117" s="17" t="inlineStr">
        <is>
          <t>R</t>
        </is>
      </c>
      <c r="F117" s="17" t="n"/>
      <c r="G117" s="9" t="n">
        <v>42</v>
      </c>
      <c r="H117" s="9" t="n">
        <v>797</v>
      </c>
      <c r="I117" s="9" t="inlineStr">
        <is>
          <t>Middle Relief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</f>
        <v/>
      </c>
      <c r="AD117" s="15">
        <f>SUMPRODUCT(M117:X117,$M$6:$X$6)</f>
        <v/>
      </c>
      <c r="AE117" s="19" t="n"/>
    </row>
    <row r="118">
      <c r="A118" s="9" t="n">
        <v>676962</v>
      </c>
      <c r="B118" s="9" t="inlineStr">
        <is>
          <t>Ben Brown</t>
        </is>
      </c>
      <c r="C118" s="9" t="inlineStr">
        <is>
          <t>CHC</t>
        </is>
      </c>
      <c r="D118" s="9" t="n">
        <v>27</v>
      </c>
      <c r="E118" s="17" t="inlineStr">
        <is>
          <t>R</t>
        </is>
      </c>
      <c r="F118" s="17" t="n"/>
      <c r="G118" s="9" t="n">
        <v>220</v>
      </c>
      <c r="H118" s="9" t="n">
        <v>914</v>
      </c>
      <c r="I118" s="9" t="inlineStr">
        <is>
          <t>End-of-Rotation Starter (SP4-5)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</f>
        <v/>
      </c>
      <c r="AD118" s="15">
        <f>SUMPRODUCT(M118:X118,$M$6:$X$6)</f>
        <v/>
      </c>
      <c r="AE118" s="19" t="n"/>
    </row>
    <row r="119">
      <c r="A119" s="9" t="n">
        <v>623454</v>
      </c>
      <c r="B119" s="9" t="inlineStr">
        <is>
          <t>Drew Anderson</t>
        </is>
      </c>
      <c r="C119" s="9" t="inlineStr">
        <is>
          <t>DET</t>
        </is>
      </c>
      <c r="D119" s="9" t="n">
        <v>33</v>
      </c>
      <c r="E119" s="17" t="inlineStr">
        <is>
          <t>R</t>
        </is>
      </c>
      <c r="F119" s="17" t="n"/>
      <c r="G119" s="9" t="n">
        <v>180</v>
      </c>
      <c r="H119" s="9" t="n">
        <v>180</v>
      </c>
      <c r="I119" s="9" t="inlineStr">
        <is>
          <t>Late Inning RP (Setup)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</f>
        <v/>
      </c>
      <c r="AD119" s="15">
        <f>SUMPRODUCT(M119:X119,$M$6:$X$6)</f>
        <v/>
      </c>
      <c r="AE119" s="19" t="n"/>
    </row>
    <row r="120">
      <c r="A120" s="9" t="n">
        <v>670950</v>
      </c>
      <c r="B120" s="9" t="inlineStr">
        <is>
          <t>Trevor Richards</t>
        </is>
      </c>
      <c r="C120" s="9" t="inlineStr">
        <is>
          <t>CWS</t>
        </is>
      </c>
      <c r="D120" s="9" t="n">
        <v>34</v>
      </c>
      <c r="E120" s="17" t="inlineStr">
        <is>
          <t>R</t>
        </is>
      </c>
      <c r="F120" s="17" t="n"/>
      <c r="G120" s="9" t="n">
        <v>83</v>
      </c>
      <c r="H120" s="9" t="n">
        <v>985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</f>
        <v/>
      </c>
      <c r="AD120" s="15">
        <f>SUMPRODUCT(M120:X120,$M$6:$X$6)</f>
        <v/>
      </c>
      <c r="AE120" s="19" t="n"/>
    </row>
    <row r="121">
      <c r="A121" s="9" t="n">
        <v>656464</v>
      </c>
      <c r="B121" s="9" t="inlineStr">
        <is>
          <t>Kevin Ginkel</t>
        </is>
      </c>
      <c r="C121" s="9" t="inlineStr">
        <is>
          <t>ARI</t>
        </is>
      </c>
      <c r="D121" s="9" t="n">
        <v>33</v>
      </c>
      <c r="E121" s="17" t="inlineStr">
        <is>
          <t>R</t>
        </is>
      </c>
      <c r="F121" s="17" t="n"/>
      <c r="G121" s="9" t="n">
        <v>102</v>
      </c>
      <c r="H121" s="9" t="n">
        <v>892</v>
      </c>
      <c r="I121" s="9" t="inlineStr">
        <is>
          <t>Middle Relief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</f>
        <v/>
      </c>
      <c r="AD121" s="15">
        <f>SUMPRODUCT(M121:X121,$M$6:$X$6)</f>
        <v/>
      </c>
      <c r="AE121" s="19" t="n"/>
    </row>
    <row r="122">
      <c r="A122" s="9" t="n">
        <v>656529</v>
      </c>
      <c r="B122" s="9" t="inlineStr">
        <is>
          <t>Sam Hentges</t>
        </is>
      </c>
      <c r="C122" s="9" t="inlineStr">
        <is>
          <t>SF</t>
        </is>
      </c>
      <c r="D122" s="9" t="n">
        <v>30</v>
      </c>
      <c r="E122" s="17" t="inlineStr">
        <is>
          <t>L</t>
        </is>
      </c>
      <c r="F122" s="17" t="n"/>
      <c r="G122" s="9" t="n">
        <v>47</v>
      </c>
      <c r="H122" s="9" t="n">
        <v>606</v>
      </c>
      <c r="I122" s="9" t="inlineStr">
        <is>
          <t>Late Inning RP (Setup)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</f>
        <v/>
      </c>
      <c r="AD122" s="15">
        <f>SUMPRODUCT(M122:X122,$M$6:$X$6)</f>
        <v/>
      </c>
      <c r="AE122" s="19" t="n"/>
    </row>
    <row r="123">
      <c r="A123" s="9" t="n">
        <v>689147</v>
      </c>
      <c r="B123" s="9" t="inlineStr">
        <is>
          <t>Orion Kerkering</t>
        </is>
      </c>
      <c r="C123" s="9" t="inlineStr">
        <is>
          <t>PHI</t>
        </is>
      </c>
      <c r="D123" s="9" t="n">
        <v>26</v>
      </c>
      <c r="E123" s="17" t="inlineStr">
        <is>
          <t>R</t>
        </is>
      </c>
      <c r="F123" s="17" t="n"/>
      <c r="G123" s="9" t="n">
        <v>109</v>
      </c>
      <c r="H123" s="9" t="n">
        <v>646</v>
      </c>
      <c r="I123" s="9" t="inlineStr">
        <is>
          <t>Middle Relief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</f>
        <v/>
      </c>
      <c r="AD123" s="15">
        <f>SUMPRODUCT(M123:X123,$M$6:$X$6)</f>
        <v/>
      </c>
      <c r="AE123" s="19" t="n"/>
    </row>
    <row r="124">
      <c r="A124" s="9" t="n">
        <v>657024</v>
      </c>
      <c r="B124" s="9" t="inlineStr">
        <is>
          <t>Erik Swanson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30</v>
      </c>
      <c r="H124" s="9" t="n">
        <v>666</v>
      </c>
      <c r="I124" s="9" t="inlineStr">
        <is>
          <t>Bullpen Depth Arm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</f>
        <v/>
      </c>
      <c r="AD124" s="15">
        <f>SUMPRODUCT(M124:X124,$M$6:$X$6)</f>
        <v/>
      </c>
      <c r="AE124" s="19" t="n"/>
    </row>
    <row r="125">
      <c r="A125" s="9" t="n">
        <v>669062</v>
      </c>
      <c r="B125" s="9" t="inlineStr">
        <is>
          <t>Erik Miller</t>
        </is>
      </c>
      <c r="C125" s="9" t="inlineStr">
        <is>
          <t>SF</t>
        </is>
      </c>
      <c r="D125" s="9" t="n">
        <v>29</v>
      </c>
      <c r="E125" s="17" t="inlineStr">
        <is>
          <t>L</t>
        </is>
      </c>
      <c r="F125" s="17" t="n"/>
      <c r="G125" s="9" t="n">
        <v>90</v>
      </c>
      <c r="H125" s="9" t="n">
        <v>502</v>
      </c>
      <c r="I125" s="9" t="inlineStr">
        <is>
          <t>Middle Relief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</f>
        <v/>
      </c>
      <c r="AD125" s="15">
        <f>SUMPRODUCT(M125:X125,$M$6:$X$6)</f>
        <v/>
      </c>
      <c r="AE125" s="19" t="n"/>
    </row>
    <row r="126">
      <c r="A126" s="9" t="n">
        <v>641154</v>
      </c>
      <c r="B126" s="9" t="inlineStr">
        <is>
          <t>Pablo López</t>
        </is>
      </c>
      <c r="C126" s="9" t="inlineStr">
        <is>
          <t>MIN</t>
        </is>
      </c>
      <c r="D126" s="9" t="n">
        <v>31</v>
      </c>
      <c r="E126" s="17" t="inlineStr">
        <is>
          <t>R</t>
        </is>
      </c>
      <c r="F126" s="17" t="n"/>
      <c r="G126" s="9" t="n">
        <v>312</v>
      </c>
      <c r="H126" s="9" t="n">
        <v>2621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</f>
        <v/>
      </c>
      <c r="AD126" s="15">
        <f>SUMPRODUCT(M126:X126,$M$6:$X$6)</f>
        <v/>
      </c>
      <c r="AE126" s="19" t="n"/>
    </row>
    <row r="127">
      <c r="A127" s="9" t="n">
        <v>694037</v>
      </c>
      <c r="B127" s="9" t="inlineStr">
        <is>
          <t>Daniel Palencia</t>
        </is>
      </c>
      <c r="C127" s="9" t="inlineStr">
        <is>
          <t>CHC</t>
        </is>
      </c>
      <c r="D127" s="9" t="n">
        <v>27</v>
      </c>
      <c r="E127" s="17" t="inlineStr">
        <is>
          <t>R</t>
        </is>
      </c>
      <c r="F127" s="17" t="n"/>
      <c r="G127" s="9" t="n">
        <v>64</v>
      </c>
      <c r="H127" s="9" t="n">
        <v>467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</f>
        <v/>
      </c>
      <c r="AD127" s="15">
        <f>SUMPRODUCT(M127:X127,$M$6:$X$6)</f>
        <v/>
      </c>
      <c r="AE127" s="19" t="n"/>
    </row>
    <row r="128">
      <c r="A128" s="9" t="n">
        <v>543243</v>
      </c>
      <c r="B128" s="9" t="inlineStr">
        <is>
          <t>Sonny Gray</t>
        </is>
      </c>
      <c r="C128" s="9" t="inlineStr">
        <is>
          <t>BOS</t>
        </is>
      </c>
      <c r="D128" s="9" t="n">
        <v>37</v>
      </c>
      <c r="E128" s="17" t="inlineStr">
        <is>
          <t>R</t>
        </is>
      </c>
      <c r="F128" s="17" t="n"/>
      <c r="G128" s="9" t="n">
        <v>233</v>
      </c>
      <c r="H128" s="9" t="n">
        <v>2899</v>
      </c>
      <c r="I128" s="9" t="inlineStr">
        <is>
          <t>Mid-Rotation Starter (SP2-3)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</f>
        <v/>
      </c>
      <c r="AD128" s="15">
        <f>SUMPRODUCT(M128:X128,$M$6:$X$6)</f>
        <v/>
      </c>
      <c r="AE128" s="19" t="n"/>
    </row>
    <row r="129">
      <c r="A129" s="9" t="n">
        <v>676395</v>
      </c>
      <c r="B129" s="9" t="inlineStr">
        <is>
          <t>Robert Garcia</t>
        </is>
      </c>
      <c r="C129" s="9" t="inlineStr">
        <is>
          <t>TEX</t>
        </is>
      </c>
      <c r="D129" s="9" t="n">
        <v>31</v>
      </c>
      <c r="E129" s="17" t="inlineStr">
        <is>
          <t>L</t>
        </is>
      </c>
      <c r="F129" s="17" t="n"/>
      <c r="G129" s="9" t="n">
        <v>34</v>
      </c>
      <c r="H129" s="9" t="n">
        <v>681</v>
      </c>
      <c r="I129" s="9" t="inlineStr">
        <is>
          <t>Late Inning RP (Setup)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</f>
        <v/>
      </c>
      <c r="AD129" s="15">
        <f>SUMPRODUCT(M129:X129,$M$6:$X$6)</f>
        <v/>
      </c>
      <c r="AE129" s="19" t="n"/>
    </row>
    <row r="130">
      <c r="A130" s="9" t="n">
        <v>673540</v>
      </c>
      <c r="B130" s="9" t="inlineStr">
        <is>
          <t>Kodai Senga</t>
        </is>
      </c>
      <c r="C130" s="9" t="inlineStr">
        <is>
          <t>NYM</t>
        </is>
      </c>
      <c r="D130" s="9" t="n">
        <v>34</v>
      </c>
      <c r="E130" s="17" t="inlineStr">
        <is>
          <t>R</t>
        </is>
      </c>
      <c r="F130" s="17" t="n"/>
      <c r="G130" s="9" t="n">
        <v>97</v>
      </c>
      <c r="H130" s="9" t="n">
        <v>1293</v>
      </c>
      <c r="I130" s="9" t="inlineStr">
        <is>
          <t>End-of-Rotation Starter (SP4-5)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</f>
        <v/>
      </c>
      <c r="AD130" s="15">
        <f>SUMPRODUCT(M130:X130,$M$6:$X$6)</f>
        <v/>
      </c>
      <c r="AE130" s="19" t="n"/>
    </row>
    <row r="131">
      <c r="A131" s="9" t="n">
        <v>592332</v>
      </c>
      <c r="B131" s="9" t="inlineStr">
        <is>
          <t>Kevin Gausman</t>
        </is>
      </c>
      <c r="C131" s="9" t="inlineStr">
        <is>
          <t>TOR</t>
        </is>
      </c>
      <c r="D131" s="9" t="n">
        <v>36</v>
      </c>
      <c r="E131" s="17" t="inlineStr">
        <is>
          <t>R</t>
        </is>
      </c>
      <c r="F131" s="17" t="n"/>
      <c r="G131" s="9" t="n">
        <v>325</v>
      </c>
      <c r="H131" s="9" t="n">
        <v>3344</v>
      </c>
      <c r="I131" s="9" t="inlineStr">
        <is>
          <t>Ace (SP1)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</f>
        <v/>
      </c>
      <c r="AD131" s="15">
        <f>SUMPRODUCT(M131:X131,$M$6:$X$6)</f>
        <v/>
      </c>
      <c r="AE131" s="19" t="n"/>
    </row>
    <row r="132">
      <c r="A132" s="9" t="n">
        <v>669203</v>
      </c>
      <c r="B132" s="9" t="inlineStr">
        <is>
          <t>Corbin Burnes</t>
        </is>
      </c>
      <c r="C132" s="9" t="inlineStr">
        <is>
          <t>ARI</t>
        </is>
      </c>
      <c r="D132" s="9" t="n">
        <v>32</v>
      </c>
      <c r="E132" s="17" t="inlineStr">
        <is>
          <t>R</t>
        </is>
      </c>
      <c r="F132" s="17" t="n"/>
      <c r="G132" s="9" t="n">
        <v>265</v>
      </c>
      <c r="H132" s="9" t="n">
        <v>2630</v>
      </c>
      <c r="I132" s="9" t="inlineStr">
        <is>
          <t>Ace (SP1)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</f>
        <v/>
      </c>
      <c r="AD132" s="15">
        <f>SUMPRODUCT(M132:X132,$M$6:$X$6)</f>
        <v/>
      </c>
      <c r="AE132" s="19" t="n"/>
    </row>
    <row r="133">
      <c r="A133" s="9" t="n">
        <v>642397</v>
      </c>
      <c r="B133" s="9" t="inlineStr">
        <is>
          <t>Gregory Soto</t>
        </is>
      </c>
      <c r="C133" s="9" t="inlineStr">
        <is>
          <t>PIT</t>
        </is>
      </c>
      <c r="D133" s="9" t="n">
        <v>32</v>
      </c>
      <c r="E133" s="17" t="inlineStr">
        <is>
          <t>L</t>
        </is>
      </c>
      <c r="F133" s="17" t="n"/>
      <c r="G133" s="9" t="n">
        <v>111</v>
      </c>
      <c r="H133" s="9" t="n">
        <v>1147</v>
      </c>
      <c r="I133" s="9" t="inlineStr">
        <is>
          <t>Closer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</f>
        <v/>
      </c>
      <c r="AD133" s="15">
        <f>SUMPRODUCT(M133:X133,$M$6:$X$6)</f>
        <v/>
      </c>
      <c r="AE133" s="19" t="n"/>
    </row>
    <row r="134">
      <c r="A134" s="9" t="n">
        <v>665660</v>
      </c>
      <c r="B134" s="9" t="inlineStr">
        <is>
          <t>Elvis Alvarado</t>
        </is>
      </c>
      <c r="C134" s="9" t="inlineStr">
        <is>
          <t>OAK</t>
        </is>
      </c>
      <c r="D134" s="9" t="n">
        <v>28</v>
      </c>
      <c r="E134" s="17" t="inlineStr">
        <is>
          <t>R</t>
        </is>
      </c>
      <c r="F134" s="17" t="n"/>
      <c r="G134" s="9" t="n">
        <v>56</v>
      </c>
      <c r="H134" s="9" t="n">
        <v>239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</f>
        <v/>
      </c>
      <c r="AD134" s="15">
        <f>SUMPRODUCT(M134:X134,$M$6:$X$6)</f>
        <v/>
      </c>
      <c r="AE134" s="19" t="n"/>
    </row>
    <row r="135">
      <c r="A135" s="9" t="n">
        <v>669022</v>
      </c>
      <c r="B135" s="9" t="inlineStr">
        <is>
          <t>MacKenzie Gore</t>
        </is>
      </c>
      <c r="C135" s="9" t="inlineStr">
        <is>
          <t>TEX</t>
        </is>
      </c>
      <c r="D135" s="9" t="n">
        <v>28</v>
      </c>
      <c r="E135" s="17" t="inlineStr">
        <is>
          <t>L</t>
        </is>
      </c>
      <c r="F135" s="17" t="n"/>
      <c r="G135" s="9" t="n">
        <v>283</v>
      </c>
      <c r="H135" s="9" t="n">
        <v>2585</v>
      </c>
      <c r="I135" s="9" t="inlineStr">
        <is>
          <t>Mid-Rotation Starter (SP2-3)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</f>
        <v/>
      </c>
      <c r="AD135" s="15">
        <f>SUMPRODUCT(M135:X135,$M$6:$X$6)</f>
        <v/>
      </c>
      <c r="AE135" s="19" t="n"/>
    </row>
    <row r="136">
      <c r="A136" s="9" t="n">
        <v>670036</v>
      </c>
      <c r="B136" s="9" t="inlineStr">
        <is>
          <t>Matt Festa</t>
        </is>
      </c>
      <c r="C136" s="9" t="inlineStr">
        <is>
          <t>CLE</t>
        </is>
      </c>
      <c r="D136" s="9" t="n">
        <v>34</v>
      </c>
      <c r="E136" s="17" t="inlineStr">
        <is>
          <t>R</t>
        </is>
      </c>
      <c r="F136" s="17" t="n"/>
      <c r="G136" s="9" t="n">
        <v>122</v>
      </c>
      <c r="H136" s="9" t="n">
        <v>710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</f>
        <v/>
      </c>
      <c r="AD136" s="15">
        <f>SUMPRODUCT(M136:X136,$M$6:$X$6)</f>
        <v/>
      </c>
      <c r="AE136" s="19" t="n"/>
    </row>
    <row r="137">
      <c r="A137" s="9" t="n">
        <v>669199</v>
      </c>
      <c r="B137" s="9" t="inlineStr">
        <is>
          <t>Lake Bachar</t>
        </is>
      </c>
      <c r="C137" s="9" t="inlineStr">
        <is>
          <t>MIA</t>
        </is>
      </c>
      <c r="D137" s="9" t="n">
        <v>32</v>
      </c>
      <c r="E137" s="17" t="inlineStr">
        <is>
          <t>R</t>
        </is>
      </c>
      <c r="F137" s="17" t="n"/>
      <c r="G137" s="9" t="n">
        <v>135</v>
      </c>
      <c r="H137" s="9" t="n">
        <v>471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</f>
        <v/>
      </c>
      <c r="AD137" s="15">
        <f>SUMPRODUCT(M137:X137,$M$6:$X$6)</f>
        <v/>
      </c>
      <c r="AE137" s="19" t="n"/>
    </row>
    <row r="138">
      <c r="A138" s="9" t="n">
        <v>458677</v>
      </c>
      <c r="B138" s="9" t="inlineStr">
        <is>
          <t>Justin Wilson</t>
        </is>
      </c>
      <c r="C138" s="9" t="inlineStr">
        <is>
          <t>BOS</t>
        </is>
      </c>
      <c r="D138" s="9" t="n">
        <v>39</v>
      </c>
      <c r="E138" s="17" t="inlineStr">
        <is>
          <t>L</t>
        </is>
      </c>
      <c r="F138" s="17" t="n"/>
      <c r="G138" s="9" t="n">
        <v>207</v>
      </c>
      <c r="H138" s="9" t="n">
        <v>429</v>
      </c>
      <c r="I138" s="9" t="inlineStr">
        <is>
          <t>Middle Relief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</f>
        <v/>
      </c>
      <c r="AD138" s="15">
        <f>SUMPRODUCT(M138:X138,$M$6:$X$6)</f>
        <v/>
      </c>
      <c r="AE138" s="19" t="n"/>
    </row>
    <row r="139">
      <c r="A139" s="9" t="n">
        <v>453286</v>
      </c>
      <c r="B139" s="9" t="inlineStr">
        <is>
          <t>Max Scherzer</t>
        </is>
      </c>
      <c r="C139" s="9" t="inlineStr">
        <is>
          <t>TOR</t>
        </is>
      </c>
      <c r="D139" s="9" t="n">
        <v>42</v>
      </c>
      <c r="E139" s="17" t="inlineStr">
        <is>
          <t>R</t>
        </is>
      </c>
      <c r="F139" s="17" t="n"/>
      <c r="G139" s="9" t="n">
        <v>84</v>
      </c>
      <c r="H139" s="9" t="n">
        <v>1805</v>
      </c>
      <c r="I139" s="9" t="inlineStr">
        <is>
          <t>End-of-Rotation Starter (SP4-5)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</f>
        <v/>
      </c>
      <c r="AD139" s="15">
        <f>SUMPRODUCT(M139:X139,$M$6:$X$6)</f>
        <v/>
      </c>
      <c r="AE139" s="19" t="n"/>
    </row>
    <row r="140">
      <c r="A140" s="9" t="n">
        <v>667297</v>
      </c>
      <c r="B140" s="9" t="inlineStr">
        <is>
          <t>Tommy Nance</t>
        </is>
      </c>
      <c r="C140" s="9" t="inlineStr">
        <is>
          <t>TOR</t>
        </is>
      </c>
      <c r="D140" s="9" t="n">
        <v>36</v>
      </c>
      <c r="E140" s="17" t="inlineStr">
        <is>
          <t>R</t>
        </is>
      </c>
      <c r="F140" s="17" t="n"/>
      <c r="G140" s="9" t="n">
        <v>89</v>
      </c>
      <c r="H140" s="9" t="n">
        <v>504</v>
      </c>
      <c r="I140" s="9" t="inlineStr">
        <is>
          <t>Middle Relief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</f>
        <v/>
      </c>
      <c r="AD140" s="15">
        <f>SUMPRODUCT(M140:X140,$M$6:$X$6)</f>
        <v/>
      </c>
      <c r="AE140" s="19" t="n"/>
    </row>
    <row r="141">
      <c r="A141" s="9" t="n">
        <v>681676</v>
      </c>
      <c r="B141" s="9" t="inlineStr">
        <is>
          <t>Ryan Fernandez</t>
        </is>
      </c>
      <c r="C141" s="9" t="inlineStr">
        <is>
          <t>STL</t>
        </is>
      </c>
      <c r="D141" s="9" t="n">
        <v>29</v>
      </c>
      <c r="E141" s="17" t="inlineStr">
        <is>
          <t>R</t>
        </is>
      </c>
      <c r="F141" s="17" t="n"/>
      <c r="G141" s="9" t="n">
        <v>43</v>
      </c>
      <c r="H141" s="9" t="n">
        <v>468</v>
      </c>
      <c r="I141" s="9" t="inlineStr">
        <is>
          <t>Late Inning RP (Setup)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</f>
        <v/>
      </c>
      <c r="AD141" s="15">
        <f>SUMPRODUCT(M141:X141,$M$6:$X$6)</f>
        <v/>
      </c>
      <c r="AE141" s="19" t="n"/>
    </row>
    <row r="142">
      <c r="A142" s="9" t="n">
        <v>571946</v>
      </c>
      <c r="B142" s="9" t="inlineStr">
        <is>
          <t>Shelby Miller</t>
        </is>
      </c>
      <c r="C142" s="9" t="inlineStr">
        <is>
          <t>MIL</t>
        </is>
      </c>
      <c r="D142" s="9" t="n">
        <v>36</v>
      </c>
      <c r="E142" s="17" t="inlineStr">
        <is>
          <t>R</t>
        </is>
      </c>
      <c r="F142" s="17" t="n"/>
      <c r="G142" s="9" t="n">
        <v>186</v>
      </c>
      <c r="H142" s="9" t="n">
        <v>604</v>
      </c>
      <c r="I142" s="9" t="inlineStr">
        <is>
          <t>Middle Relief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</f>
        <v/>
      </c>
      <c r="AD142" s="15">
        <f>SUMPRODUCT(M142:X142,$M$6:$X$6)</f>
        <v/>
      </c>
      <c r="AE142" s="19" t="n"/>
    </row>
    <row r="143">
      <c r="A143" s="9" t="n">
        <v>690925</v>
      </c>
      <c r="B143" s="9" t="inlineStr">
        <is>
          <t>Clayton Beeter</t>
        </is>
      </c>
      <c r="C143" s="9" t="inlineStr">
        <is>
          <t>WSH</t>
        </is>
      </c>
      <c r="D143" s="9" t="n">
        <v>28</v>
      </c>
      <c r="E143" s="17" t="inlineStr">
        <is>
          <t>R</t>
        </is>
      </c>
      <c r="F143" s="17" t="n"/>
      <c r="G143" s="9" t="n">
        <v>84</v>
      </c>
      <c r="H143" s="9" t="n">
        <v>203</v>
      </c>
      <c r="I143" s="9" t="inlineStr">
        <is>
          <t>Middle Relief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</f>
        <v/>
      </c>
      <c r="AD143" s="15">
        <f>SUMPRODUCT(M143:X143,$M$6:$X$6)</f>
        <v/>
      </c>
      <c r="AE143" s="19" t="n"/>
    </row>
    <row r="144">
      <c r="A144" s="9" t="n">
        <v>680694</v>
      </c>
      <c r="B144" s="9" t="inlineStr">
        <is>
          <t>Kyle Bradish</t>
        </is>
      </c>
      <c r="C144" s="9" t="inlineStr">
        <is>
          <t>BAL</t>
        </is>
      </c>
      <c r="D144" s="9" t="n">
        <v>30</v>
      </c>
      <c r="E144" s="17" t="inlineStr">
        <is>
          <t>R</t>
        </is>
      </c>
      <c r="F144" s="17" t="n"/>
      <c r="G144" s="9" t="n">
        <v>302</v>
      </c>
      <c r="H144" s="9" t="n">
        <v>1771</v>
      </c>
      <c r="I144" s="9" t="inlineStr">
        <is>
          <t>Mid-Rotation Starter (SP2-3)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</f>
        <v/>
      </c>
      <c r="AD144" s="15">
        <f>SUMPRODUCT(M144:X144,$M$6:$X$6)</f>
        <v/>
      </c>
      <c r="AE144" s="19" t="n"/>
    </row>
    <row r="145">
      <c r="A145" s="9" t="n">
        <v>676760</v>
      </c>
      <c r="B145" s="9" t="inlineStr">
        <is>
          <t>Ron Marinaccio</t>
        </is>
      </c>
      <c r="C145" s="9" t="inlineStr">
        <is>
          <t>SD</t>
        </is>
      </c>
      <c r="D145" s="9" t="n">
        <v>31</v>
      </c>
      <c r="E145" s="17" t="inlineStr">
        <is>
          <t>R</t>
        </is>
      </c>
      <c r="F145" s="17" t="n"/>
      <c r="G145" s="9" t="n">
        <v>140</v>
      </c>
      <c r="H145" s="9" t="n">
        <v>667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</f>
        <v/>
      </c>
      <c r="AD145" s="15">
        <f>SUMPRODUCT(M145:X145,$M$6:$X$6)</f>
        <v/>
      </c>
      <c r="AE145" s="19" t="n"/>
    </row>
    <row r="146">
      <c r="A146" s="9" t="n">
        <v>605400</v>
      </c>
      <c r="B146" s="9" t="inlineStr">
        <is>
          <t>Aaron Nola</t>
        </is>
      </c>
      <c r="C146" s="9" t="inlineStr">
        <is>
          <t>PHI</t>
        </is>
      </c>
      <c r="D146" s="9" t="n">
        <v>34</v>
      </c>
      <c r="E146" s="17" t="inlineStr">
        <is>
          <t>R</t>
        </is>
      </c>
      <c r="F146" s="17" t="n"/>
      <c r="G146" s="9" t="n">
        <v>287</v>
      </c>
      <c r="H146" s="9" t="n">
        <v>3111</v>
      </c>
      <c r="I146" s="9" t="inlineStr">
        <is>
          <t>Mid-Rotation Starter (SP2-3)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</f>
        <v/>
      </c>
      <c r="AD146" s="15">
        <f>SUMPRODUCT(M146:X146,$M$6:$X$6)</f>
        <v/>
      </c>
      <c r="AE146" s="19" t="n"/>
    </row>
    <row r="147">
      <c r="A147" s="9" t="n">
        <v>579328</v>
      </c>
      <c r="B147" s="9" t="inlineStr">
        <is>
          <t>Yusei Kikuchi</t>
        </is>
      </c>
      <c r="C147" s="9" t="inlineStr">
        <is>
          <t>LAA</t>
        </is>
      </c>
      <c r="D147" s="9" t="n">
        <v>36</v>
      </c>
      <c r="E147" s="17" t="inlineStr">
        <is>
          <t>L</t>
        </is>
      </c>
      <c r="F147" s="17" t="n"/>
      <c r="G147" s="9" t="n">
        <v>142</v>
      </c>
      <c r="H147" s="9" t="n">
        <v>2804</v>
      </c>
      <c r="I147" s="9" t="inlineStr">
        <is>
          <t>Mid-Rotation Starter (SP2-3)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</f>
        <v/>
      </c>
      <c r="AD147" s="15">
        <f>SUMPRODUCT(M147:X147,$M$6:$X$6)</f>
        <v/>
      </c>
      <c r="AE147" s="19" t="n"/>
    </row>
    <row r="148">
      <c r="A148" s="9" t="n">
        <v>455119</v>
      </c>
      <c r="B148" s="9" t="inlineStr">
        <is>
          <t>Chris Martin</t>
        </is>
      </c>
      <c r="C148" s="9" t="inlineStr">
        <is>
          <t>TEX</t>
        </is>
      </c>
      <c r="D148" s="9" t="n">
        <v>41</v>
      </c>
      <c r="E148" s="17" t="inlineStr">
        <is>
          <t>R</t>
        </is>
      </c>
      <c r="F148" s="17" t="n"/>
      <c r="G148" s="9" t="n">
        <v>49</v>
      </c>
      <c r="H148" s="9" t="n">
        <v>827</v>
      </c>
      <c r="I148" s="9" t="inlineStr">
        <is>
          <t>Closer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</f>
        <v/>
      </c>
      <c r="AD148" s="15">
        <f>SUMPRODUCT(M148:X148,$M$6:$X$6)</f>
        <v/>
      </c>
      <c r="AE148" s="19" t="n"/>
    </row>
    <row r="149">
      <c r="A149" s="9" t="n">
        <v>663158</v>
      </c>
      <c r="B149" s="9" t="inlineStr">
        <is>
          <t>Robert Suarez</t>
        </is>
      </c>
      <c r="C149" s="9" t="inlineStr">
        <is>
          <t>ATL</t>
        </is>
      </c>
      <c r="D149" s="9" t="n">
        <v>36</v>
      </c>
      <c r="E149" s="17" t="inlineStr">
        <is>
          <t>R</t>
        </is>
      </c>
      <c r="F149" s="17" t="n"/>
      <c r="G149" s="9" t="n">
        <v>111</v>
      </c>
      <c r="H149" s="9" t="n">
        <v>937</v>
      </c>
      <c r="I149" s="9" t="inlineStr">
        <is>
          <t>Late Inning RP (Setup)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</f>
        <v/>
      </c>
      <c r="AD149" s="15">
        <f>SUMPRODUCT(M149:X149,$M$6:$X$6)</f>
        <v/>
      </c>
      <c r="AE149" s="19" t="n"/>
    </row>
    <row r="150">
      <c r="A150" s="9" t="n">
        <v>669165</v>
      </c>
      <c r="B150" s="9" t="inlineStr">
        <is>
          <t>Kyle Hurt</t>
        </is>
      </c>
      <c r="C150" s="9" t="inlineStr">
        <is>
          <t>LAD</t>
        </is>
      </c>
      <c r="D150" s="9" t="n">
        <v>29</v>
      </c>
      <c r="E150" s="17" t="inlineStr">
        <is>
          <t>R</t>
        </is>
      </c>
      <c r="F150" s="17" t="n"/>
      <c r="G150" s="9" t="n">
        <v>83</v>
      </c>
      <c r="H150" s="9" t="n">
        <v>116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</f>
        <v/>
      </c>
      <c r="AD150" s="15">
        <f>SUMPRODUCT(M150:X150,$M$6:$X$6)</f>
        <v/>
      </c>
      <c r="AE150" s="19" t="n"/>
    </row>
    <row r="151">
      <c r="A151" s="9" t="n">
        <v>625643</v>
      </c>
      <c r="B151" s="9" t="inlineStr">
        <is>
          <t>Reynaldo López</t>
        </is>
      </c>
      <c r="C151" s="9" t="inlineStr">
        <is>
          <t>ATL</t>
        </is>
      </c>
      <c r="D151" s="9" t="n">
        <v>33</v>
      </c>
      <c r="E151" s="17" t="inlineStr">
        <is>
          <t>R</t>
        </is>
      </c>
      <c r="F151" s="17" t="n"/>
      <c r="G151" s="9" t="n">
        <v>166</v>
      </c>
      <c r="H151" s="9" t="n">
        <v>1266</v>
      </c>
      <c r="I151" s="9" t="inlineStr">
        <is>
          <t>End-of-Rotation Starter (SP4-5)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</f>
        <v/>
      </c>
      <c r="AD151" s="15">
        <f>SUMPRODUCT(M151:X151,$M$6:$X$6)</f>
        <v/>
      </c>
      <c r="AE151" s="19" t="n"/>
    </row>
    <row r="152">
      <c r="A152" s="9" t="n">
        <v>573124</v>
      </c>
      <c r="B152" s="9" t="inlineStr">
        <is>
          <t>Taylor Rogers</t>
        </is>
      </c>
      <c r="C152" s="9" t="inlineStr">
        <is>
          <t>MIN</t>
        </is>
      </c>
      <c r="D152" s="9" t="n">
        <v>36</v>
      </c>
      <c r="E152" s="17" t="inlineStr">
        <is>
          <t>L</t>
        </is>
      </c>
      <c r="F152" s="17" t="n"/>
      <c r="G152" s="9" t="n">
        <v>112</v>
      </c>
      <c r="H152" s="9" t="n">
        <v>1072</v>
      </c>
      <c r="I152" s="9" t="inlineStr">
        <is>
          <t>Middle Relief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</f>
        <v/>
      </c>
      <c r="AD152" s="15">
        <f>SUMPRODUCT(M152:X152,$M$6:$X$6)</f>
        <v/>
      </c>
      <c r="AE152" s="19" t="n"/>
    </row>
    <row r="153">
      <c r="A153" s="9" t="n">
        <v>666661</v>
      </c>
      <c r="B153" s="9" t="inlineStr">
        <is>
          <t>Juan Morillo</t>
        </is>
      </c>
      <c r="C153" s="9" t="inlineStr">
        <is>
          <t>ARI</t>
        </is>
      </c>
      <c r="D153" s="9" t="n">
        <v>28</v>
      </c>
      <c r="E153" s="17" t="inlineStr">
        <is>
          <t>R</t>
        </is>
      </c>
      <c r="F153" s="17" t="n"/>
      <c r="G153" s="9" t="n">
        <v>108</v>
      </c>
      <c r="H153" s="9" t="n">
        <v>260</v>
      </c>
      <c r="I153" s="9" t="inlineStr">
        <is>
          <t>Late Inning RP (Setup)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</f>
        <v/>
      </c>
      <c r="AD153" s="15">
        <f>SUMPRODUCT(M153:X153,$M$6:$X$6)</f>
        <v/>
      </c>
      <c r="AE153" s="19" t="n"/>
    </row>
    <row r="154">
      <c r="A154" s="9" t="n">
        <v>594027</v>
      </c>
      <c r="B154" s="9" t="inlineStr">
        <is>
          <t>Tyron Guerrero</t>
        </is>
      </c>
      <c r="C154" s="9" t="inlineStr">
        <is>
          <t>BOS</t>
        </is>
      </c>
      <c r="D154" s="9" t="n">
        <v>36</v>
      </c>
      <c r="E154" s="17" t="inlineStr">
        <is>
          <t>R</t>
        </is>
      </c>
      <c r="F154" s="17" t="n"/>
      <c r="G154" s="9" t="n">
        <v>31</v>
      </c>
      <c r="H154" s="9" t="n">
        <v>31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</f>
        <v/>
      </c>
      <c r="AD154" s="15">
        <f>SUMPRODUCT(M154:X154,$M$6:$X$6)</f>
        <v/>
      </c>
      <c r="AE154" s="19" t="n"/>
    </row>
    <row r="155">
      <c r="A155" s="9" t="n">
        <v>592662</v>
      </c>
      <c r="B155" s="9" t="inlineStr">
        <is>
          <t>Robbie Ray</t>
        </is>
      </c>
      <c r="C155" s="9" t="inlineStr">
        <is>
          <t>SF</t>
        </is>
      </c>
      <c r="D155" s="9" t="n">
        <v>35</v>
      </c>
      <c r="E155" s="17" t="inlineStr">
        <is>
          <t>L</t>
        </is>
      </c>
      <c r="F155" s="17" t="n"/>
      <c r="G155" s="9" t="n">
        <v>290</v>
      </c>
      <c r="H155" s="9" t="n">
        <v>1968</v>
      </c>
      <c r="I155" s="9" t="inlineStr">
        <is>
          <t>Mid-Rotation Starter (SP2-3)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</f>
        <v/>
      </c>
      <c r="AD155" s="15">
        <f>SUMPRODUCT(M155:X155,$M$6:$X$6)</f>
        <v/>
      </c>
      <c r="AE155" s="19" t="n"/>
    </row>
    <row r="156">
      <c r="A156" s="9" t="n">
        <v>665795</v>
      </c>
      <c r="B156" s="9" t="inlineStr">
        <is>
          <t>Edward Cabrera</t>
        </is>
      </c>
      <c r="C156" s="9" t="inlineStr">
        <is>
          <t>CHC</t>
        </is>
      </c>
      <c r="D156" s="9" t="n">
        <v>29</v>
      </c>
      <c r="E156" s="17" t="inlineStr">
        <is>
          <t>R</t>
        </is>
      </c>
      <c r="F156" s="17" t="n"/>
      <c r="G156" s="9" t="n">
        <v>247</v>
      </c>
      <c r="H156" s="9" t="n">
        <v>1971</v>
      </c>
      <c r="I156" s="9" t="inlineStr">
        <is>
          <t>Mid-Rotation Starter (SP2-3)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</f>
        <v/>
      </c>
      <c r="AD156" s="15">
        <f>SUMPRODUCT(M156:X156,$M$6:$X$6)</f>
        <v/>
      </c>
      <c r="AE156" s="19" t="n"/>
    </row>
    <row r="157">
      <c r="A157" s="9" t="n">
        <v>668909</v>
      </c>
      <c r="B157" s="9" t="inlineStr">
        <is>
          <t>Gavin Williams</t>
        </is>
      </c>
      <c r="C157" s="9" t="inlineStr">
        <is>
          <t>CLE</t>
        </is>
      </c>
      <c r="D157" s="9" t="n">
        <v>27</v>
      </c>
      <c r="E157" s="17" t="inlineStr">
        <is>
          <t>R</t>
        </is>
      </c>
      <c r="F157" s="17" t="n"/>
      <c r="G157" s="9" t="n">
        <v>345</v>
      </c>
      <c r="H157" s="9" t="n">
        <v>1726</v>
      </c>
      <c r="I157" s="9" t="inlineStr">
        <is>
          <t>Mid-Rotation Starter (SP2-3)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</f>
        <v/>
      </c>
      <c r="AD157" s="15">
        <f>SUMPRODUCT(M157:X157,$M$6:$X$6)</f>
        <v/>
      </c>
      <c r="AE157" s="19" t="n"/>
    </row>
    <row r="158">
      <c r="A158" s="9" t="n">
        <v>592773</v>
      </c>
      <c r="B158" s="9" t="inlineStr">
        <is>
          <t>Ryne Stanek</t>
        </is>
      </c>
      <c r="C158" s="9" t="inlineStr">
        <is>
          <t>STL</t>
        </is>
      </c>
      <c r="D158" s="9" t="n">
        <v>35</v>
      </c>
      <c r="E158" s="17" t="inlineStr">
        <is>
          <t>R</t>
        </is>
      </c>
      <c r="F158" s="17" t="n"/>
      <c r="G158" s="9" t="n">
        <v>119</v>
      </c>
      <c r="H158" s="9" t="n">
        <v>1052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</f>
        <v/>
      </c>
      <c r="AD158" s="15">
        <f>SUMPRODUCT(M158:X158,$M$6:$X$6)</f>
        <v/>
      </c>
      <c r="AE158" s="19" t="n"/>
    </row>
    <row r="159">
      <c r="A159" s="9" t="n">
        <v>693855</v>
      </c>
      <c r="B159" s="9" t="inlineStr">
        <is>
          <t>Ian Seymour</t>
        </is>
      </c>
      <c r="C159" s="9" t="inlineStr">
        <is>
          <t>TB</t>
        </is>
      </c>
      <c r="D159" s="9" t="n">
        <v>28</v>
      </c>
      <c r="E159" s="17" t="inlineStr">
        <is>
          <t>L</t>
        </is>
      </c>
      <c r="F159" s="17" t="n"/>
      <c r="G159" s="9" t="n">
        <v>148</v>
      </c>
      <c r="H159" s="9" t="n">
        <v>390</v>
      </c>
      <c r="I159" s="9" t="inlineStr">
        <is>
          <t>Middle Relief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</f>
        <v/>
      </c>
      <c r="AD159" s="15">
        <f>SUMPRODUCT(M159:X159,$M$6:$X$6)</f>
        <v/>
      </c>
      <c r="AE159" s="19" t="n"/>
    </row>
    <row r="160">
      <c r="A160" s="9" t="n">
        <v>677952</v>
      </c>
      <c r="B160" s="9" t="inlineStr">
        <is>
          <t>Braxton Ashcraft</t>
        </is>
      </c>
      <c r="C160" s="9" t="inlineStr">
        <is>
          <t>PIT</t>
        </is>
      </c>
      <c r="D160" s="9" t="n">
        <v>27</v>
      </c>
      <c r="E160" s="17" t="inlineStr">
        <is>
          <t>R</t>
        </is>
      </c>
      <c r="F160" s="17" t="n"/>
      <c r="G160" s="9" t="n">
        <v>322</v>
      </c>
      <c r="H160" s="9" t="n">
        <v>614</v>
      </c>
      <c r="I160" s="9" t="inlineStr">
        <is>
          <t>End-of-Rotation Starter (SP4-5)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</f>
        <v/>
      </c>
      <c r="AD160" s="15">
        <f>SUMPRODUCT(M160:X160,$M$6:$X$6)</f>
        <v/>
      </c>
      <c r="AE160" s="19" t="n"/>
    </row>
    <row r="161">
      <c r="A161" s="9" t="n">
        <v>683003</v>
      </c>
      <c r="B161" s="9" t="inlineStr">
        <is>
          <t>Jared Jones</t>
        </is>
      </c>
      <c r="C161" s="9" t="inlineStr">
        <is>
          <t>PIT</t>
        </is>
      </c>
      <c r="D161" s="9" t="n">
        <v>25</v>
      </c>
      <c r="E161" s="17" t="inlineStr">
        <is>
          <t>R</t>
        </is>
      </c>
      <c r="F161" s="17" t="n"/>
      <c r="G161" s="9" t="n">
        <v>42</v>
      </c>
      <c r="H161" s="9" t="n">
        <v>546</v>
      </c>
      <c r="I161" s="9" t="inlineStr">
        <is>
          <t>Mid-Rotation Starter (SP2-3)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</f>
        <v/>
      </c>
      <c r="AD161" s="15">
        <f>SUMPRODUCT(M161:X161,$M$6:$X$6)</f>
        <v/>
      </c>
      <c r="AE161" s="19" t="n"/>
    </row>
    <row r="162">
      <c r="A162" s="9" t="n">
        <v>686752</v>
      </c>
      <c r="B162" s="9" t="inlineStr">
        <is>
          <t>Ryan Pepiot</t>
        </is>
      </c>
      <c r="C162" s="9" t="inlineStr">
        <is>
          <t>TB</t>
        </is>
      </c>
      <c r="D162" s="9" t="n">
        <v>29</v>
      </c>
      <c r="E162" s="17" t="inlineStr">
        <is>
          <t>R</t>
        </is>
      </c>
      <c r="F162" s="17" t="n"/>
      <c r="G162" s="9" t="n">
        <v>679</v>
      </c>
      <c r="H162" s="9" t="n">
        <v>1537</v>
      </c>
      <c r="I162" s="9" t="inlineStr">
        <is>
          <t>Mid-Rotation Starter (SP2-3)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</f>
        <v/>
      </c>
      <c r="AD162" s="15">
        <f>SUMPRODUCT(M162:X162,$M$6:$X$6)</f>
        <v/>
      </c>
      <c r="AE162" s="19" t="n"/>
    </row>
    <row r="163">
      <c r="A163" s="9" t="n">
        <v>690986</v>
      </c>
      <c r="B163" s="9" t="inlineStr">
        <is>
          <t>Kyle Harrison</t>
        </is>
      </c>
      <c r="C163" s="9" t="inlineStr">
        <is>
          <t>MIL</t>
        </is>
      </c>
      <c r="D163" s="9" t="n">
        <v>25</v>
      </c>
      <c r="E163" s="17" t="inlineStr">
        <is>
          <t>L</t>
        </is>
      </c>
      <c r="F163" s="17" t="n"/>
      <c r="G163" s="9" t="n">
        <v>246</v>
      </c>
      <c r="H163" s="9" t="n">
        <v>1081</v>
      </c>
      <c r="I163" s="9" t="inlineStr">
        <is>
          <t>End-of-Rotation Starter (SP4-5)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</f>
        <v/>
      </c>
      <c r="AD163" s="15">
        <f>SUMPRODUCT(M163:X163,$M$6:$X$6)</f>
        <v/>
      </c>
      <c r="AE163" s="19" t="n"/>
    </row>
    <row r="164">
      <c r="A164" s="9" t="n">
        <v>673929</v>
      </c>
      <c r="B164" s="9" t="inlineStr">
        <is>
          <t>Jordan Leasure</t>
        </is>
      </c>
      <c r="C164" s="9" t="inlineStr">
        <is>
          <t>CWS</t>
        </is>
      </c>
      <c r="D164" s="9" t="n">
        <v>28</v>
      </c>
      <c r="E164" s="17" t="inlineStr">
        <is>
          <t>R</t>
        </is>
      </c>
      <c r="F164" s="17" t="n"/>
      <c r="G164" s="9" t="n">
        <v>78</v>
      </c>
      <c r="H164" s="9" t="n">
        <v>489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</f>
        <v/>
      </c>
      <c r="AD164" s="15">
        <f>SUMPRODUCT(M164:X164,$M$6:$X$6)</f>
        <v/>
      </c>
      <c r="AE164" s="19" t="n"/>
    </row>
    <row r="165">
      <c r="A165" s="9" t="n">
        <v>605130</v>
      </c>
      <c r="B165" s="9" t="inlineStr">
        <is>
          <t>Scott Barlow</t>
        </is>
      </c>
      <c r="C165" s="9" t="inlineStr">
        <is>
          <t>OAK</t>
        </is>
      </c>
      <c r="D165" s="9" t="n">
        <v>34</v>
      </c>
      <c r="E165" s="17" t="inlineStr">
        <is>
          <t>R</t>
        </is>
      </c>
      <c r="F165" s="17" t="n"/>
      <c r="G165" s="9" t="n">
        <v>126</v>
      </c>
      <c r="H165" s="9" t="n">
        <v>1259</v>
      </c>
      <c r="I165" s="9" t="inlineStr">
        <is>
          <t>Middle Relief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</f>
        <v/>
      </c>
      <c r="AD165" s="15">
        <f>SUMPRODUCT(M165:X165,$M$6:$X$6)</f>
        <v/>
      </c>
      <c r="AE165" s="19" t="n"/>
    </row>
    <row r="166">
      <c r="A166" s="9" t="n">
        <v>686973</v>
      </c>
      <c r="B166" s="9" t="inlineStr">
        <is>
          <t>Louis Varland</t>
        </is>
      </c>
      <c r="C166" s="9" t="inlineStr">
        <is>
          <t>TOR</t>
        </is>
      </c>
      <c r="D166" s="9" t="n">
        <v>29</v>
      </c>
      <c r="E166" s="17" t="inlineStr">
        <is>
          <t>R</t>
        </is>
      </c>
      <c r="F166" s="17" t="n"/>
      <c r="G166" s="9" t="n">
        <v>137</v>
      </c>
      <c r="H166" s="9" t="n">
        <v>1060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</f>
        <v/>
      </c>
      <c r="AD166" s="15">
        <f>SUMPRODUCT(M166:X166,$M$6:$X$6)</f>
        <v/>
      </c>
      <c r="AE166" s="19" t="n"/>
    </row>
    <row r="167">
      <c r="A167" s="9" t="n">
        <v>663574</v>
      </c>
      <c r="B167" s="9" t="inlineStr">
        <is>
          <t>Tony Santillan</t>
        </is>
      </c>
      <c r="C167" s="9" t="inlineStr">
        <is>
          <t>CIN</t>
        </is>
      </c>
      <c r="D167" s="9" t="n">
        <v>30</v>
      </c>
      <c r="E167" s="17" t="inlineStr">
        <is>
          <t>R</t>
        </is>
      </c>
      <c r="F167" s="17" t="n"/>
      <c r="G167" s="9" t="n">
        <v>114</v>
      </c>
      <c r="H167" s="9" t="n">
        <v>651</v>
      </c>
      <c r="I167" s="9" t="inlineStr">
        <is>
          <t>Bullpen Depth Arm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</f>
        <v/>
      </c>
      <c r="AD167" s="15">
        <f>SUMPRODUCT(M167:X167,$M$6:$X$6)</f>
        <v/>
      </c>
      <c r="AE167" s="19" t="n"/>
    </row>
    <row r="168">
      <c r="A168" s="9" t="n">
        <v>640455</v>
      </c>
      <c r="B168" s="9" t="inlineStr">
        <is>
          <t>Sean Manaea</t>
        </is>
      </c>
      <c r="C168" s="9" t="inlineStr">
        <is>
          <t>NYM</t>
        </is>
      </c>
      <c r="D168" s="9" t="n">
        <v>35</v>
      </c>
      <c r="E168" s="17" t="inlineStr">
        <is>
          <t>L</t>
        </is>
      </c>
      <c r="F168" s="17" t="n"/>
      <c r="G168" s="9" t="n">
        <v>192</v>
      </c>
      <c r="H168" s="9" t="n">
        <v>2363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</f>
        <v/>
      </c>
      <c r="AD168" s="15">
        <f>SUMPRODUCT(M168:X168,$M$6:$X$6)</f>
        <v/>
      </c>
      <c r="AE168" s="19" t="n"/>
    </row>
    <row r="169">
      <c r="A169" s="9" t="n">
        <v>694361</v>
      </c>
      <c r="B169" s="9" t="inlineStr">
        <is>
          <t>Will Klein</t>
        </is>
      </c>
      <c r="C169" s="9" t="inlineStr">
        <is>
          <t>LAD</t>
        </is>
      </c>
      <c r="D169" s="9" t="n">
        <v>27</v>
      </c>
      <c r="E169" s="17" t="inlineStr">
        <is>
          <t>R</t>
        </is>
      </c>
      <c r="F169" s="17" t="n"/>
      <c r="G169" s="9" t="n">
        <v>111</v>
      </c>
      <c r="H169" s="9" t="n">
        <v>219</v>
      </c>
      <c r="I169" s="9" t="inlineStr">
        <is>
          <t>Middle Relief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</f>
        <v/>
      </c>
      <c r="AD169" s="15">
        <f>SUMPRODUCT(M169:X169,$M$6:$X$6)</f>
        <v/>
      </c>
      <c r="AE169" s="19" t="n"/>
    </row>
    <row r="170">
      <c r="A170" s="9" t="n">
        <v>686642</v>
      </c>
      <c r="B170" s="9" t="inlineStr">
        <is>
          <t>Fraser Ellard</t>
        </is>
      </c>
      <c r="C170" s="9" t="inlineStr">
        <is>
          <t>CWS</t>
        </is>
      </c>
      <c r="D170" s="9" t="n">
        <v>29</v>
      </c>
      <c r="E170" s="17" t="inlineStr">
        <is>
          <t>L</t>
        </is>
      </c>
      <c r="F170" s="17" t="n"/>
      <c r="G170" s="9" t="n">
        <v>74</v>
      </c>
      <c r="H170" s="9" t="n">
        <v>175</v>
      </c>
      <c r="I170" s="9" t="inlineStr">
        <is>
          <t>Bullpen Depth Arm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</f>
        <v/>
      </c>
      <c r="AD170" s="15">
        <f>SUMPRODUCT(M170:X170,$M$6:$X$6)</f>
        <v/>
      </c>
      <c r="AE170" s="19" t="n"/>
    </row>
    <row r="171">
      <c r="A171" s="9" t="n">
        <v>594580</v>
      </c>
      <c r="B171" s="9" t="inlineStr">
        <is>
          <t>Sam Moll</t>
        </is>
      </c>
      <c r="C171" s="9" t="inlineStr">
        <is>
          <t>CIN</t>
        </is>
      </c>
      <c r="D171" s="9" t="n">
        <v>35</v>
      </c>
      <c r="E171" s="17" t="inlineStr">
        <is>
          <t>L</t>
        </is>
      </c>
      <c r="F171" s="17" t="n"/>
      <c r="G171" s="9" t="n">
        <v>121</v>
      </c>
      <c r="H171" s="9" t="n">
        <v>809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</f>
        <v/>
      </c>
      <c r="AD171" s="15">
        <f>SUMPRODUCT(M171:X171,$M$6:$X$6)</f>
        <v/>
      </c>
      <c r="AE171" s="19" t="n"/>
    </row>
    <row r="172">
      <c r="A172" s="9" t="n">
        <v>694335</v>
      </c>
      <c r="B172" s="9" t="inlineStr">
        <is>
          <t>Matt Svanson</t>
        </is>
      </c>
      <c r="C172" s="9" t="inlineStr">
        <is>
          <t>STL</t>
        </is>
      </c>
      <c r="D172" s="9" t="n">
        <v>28</v>
      </c>
      <c r="E172" s="17" t="inlineStr">
        <is>
          <t>R</t>
        </is>
      </c>
      <c r="F172" s="17" t="n"/>
      <c r="G172" s="9" t="n">
        <v>129</v>
      </c>
      <c r="H172" s="9" t="n">
        <v>363</v>
      </c>
      <c r="I172" s="9" t="inlineStr">
        <is>
          <t>Late Inning RP (Setup)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</f>
        <v/>
      </c>
      <c r="AD172" s="15">
        <f>SUMPRODUCT(M172:X172,$M$6:$X$6)</f>
        <v/>
      </c>
      <c r="AE172" s="19" t="n"/>
    </row>
    <row r="173">
      <c r="A173" s="9" t="n">
        <v>693433</v>
      </c>
      <c r="B173" s="9" t="inlineStr">
        <is>
          <t>Bryan Woo</t>
        </is>
      </c>
      <c r="C173" s="9" t="inlineStr">
        <is>
          <t>SEA</t>
        </is>
      </c>
      <c r="D173" s="9" t="n">
        <v>27</v>
      </c>
      <c r="E173" s="17" t="inlineStr">
        <is>
          <t>R</t>
        </is>
      </c>
      <c r="F173" s="17" t="n"/>
      <c r="G173" s="9" t="n">
        <v>306</v>
      </c>
      <c r="H173" s="9" t="n">
        <v>1880</v>
      </c>
      <c r="I173" s="9" t="inlineStr">
        <is>
          <t>Ace (SP1)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</f>
        <v/>
      </c>
      <c r="AD173" s="15">
        <f>SUMPRODUCT(M173:X173,$M$6:$X$6)</f>
        <v/>
      </c>
      <c r="AE173" s="19" t="n"/>
    </row>
    <row r="174">
      <c r="A174" s="9" t="n">
        <v>680885</v>
      </c>
      <c r="B174" s="9" t="inlineStr">
        <is>
          <t>Spencer Schwellenbach</t>
        </is>
      </c>
      <c r="C174" s="9" t="inlineStr">
        <is>
          <t>ATL</t>
        </is>
      </c>
      <c r="D174" s="9" t="n">
        <v>27</v>
      </c>
      <c r="E174" s="17" t="inlineStr">
        <is>
          <t>R</t>
        </is>
      </c>
      <c r="F174" s="17" t="n"/>
      <c r="G174" s="9" t="n">
        <v>434</v>
      </c>
      <c r="H174" s="9" t="n">
        <v>934</v>
      </c>
      <c r="I174" s="9" t="inlineStr">
        <is>
          <t>Ace (SP1)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</f>
        <v/>
      </c>
      <c r="AD174" s="15">
        <f>SUMPRODUCT(M174:X174,$M$6:$X$6)</f>
        <v/>
      </c>
      <c r="AE174" s="19" t="n"/>
    </row>
    <row r="175">
      <c r="A175" s="9" t="n">
        <v>682171</v>
      </c>
      <c r="B175" s="9" t="inlineStr">
        <is>
          <t>Penn Murfee</t>
        </is>
      </c>
      <c r="C175" s="9" t="inlineStr">
        <is>
          <t>CWS</t>
        </is>
      </c>
      <c r="D175" s="9" t="n">
        <v>33</v>
      </c>
      <c r="E175" s="17" t="inlineStr">
        <is>
          <t>R</t>
        </is>
      </c>
      <c r="F175" s="17" t="n"/>
      <c r="G175" s="9" t="n">
        <v>63</v>
      </c>
      <c r="H175" s="9" t="n">
        <v>393</v>
      </c>
      <c r="I175" s="9" t="inlineStr">
        <is>
          <t>Middle Relief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</f>
        <v/>
      </c>
      <c r="AD175" s="15">
        <f>SUMPRODUCT(M175:X175,$M$6:$X$6)</f>
        <v/>
      </c>
      <c r="AE175" s="19" t="n"/>
    </row>
    <row r="176">
      <c r="A176" s="9" t="n">
        <v>680570</v>
      </c>
      <c r="B176" s="9" t="inlineStr">
        <is>
          <t>Grayson Rodriguez</t>
        </is>
      </c>
      <c r="C176" s="9" t="inlineStr">
        <is>
          <t>LAA</t>
        </is>
      </c>
      <c r="D176" s="9" t="n">
        <v>27</v>
      </c>
      <c r="E176" s="17" t="inlineStr">
        <is>
          <t>R</t>
        </is>
      </c>
      <c r="F176" s="17" t="n"/>
      <c r="G176" s="9" t="n">
        <v>111</v>
      </c>
      <c r="H176" s="9" t="n">
        <v>1117</v>
      </c>
      <c r="I176" s="9" t="inlineStr">
        <is>
          <t>Mid-Rotation Starter (SP2-3)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</f>
        <v/>
      </c>
      <c r="AD176" s="15">
        <f>SUMPRODUCT(M176:X176,$M$6:$X$6)</f>
        <v/>
      </c>
      <c r="AE176" s="19" t="n"/>
    </row>
    <row r="177">
      <c r="A177" s="9" t="n">
        <v>670970</v>
      </c>
      <c r="B177" s="9" t="inlineStr">
        <is>
          <t>Adrian Morejon</t>
        </is>
      </c>
      <c r="C177" s="9" t="inlineStr">
        <is>
          <t>SD</t>
        </is>
      </c>
      <c r="D177" s="9" t="n">
        <v>28</v>
      </c>
      <c r="E177" s="17" t="inlineStr">
        <is>
          <t>L</t>
        </is>
      </c>
      <c r="F177" s="17" t="n"/>
      <c r="G177" s="9" t="n">
        <v>141</v>
      </c>
      <c r="H177" s="9" t="n">
        <v>884</v>
      </c>
      <c r="I177" s="9" t="inlineStr">
        <is>
          <t>Late Inning RP (Setup)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</f>
        <v/>
      </c>
      <c r="AD177" s="15">
        <f>SUMPRODUCT(M177:X177,$M$6:$X$6)</f>
        <v/>
      </c>
      <c r="AE177" s="19" t="n"/>
    </row>
    <row r="178">
      <c r="A178" s="9" t="n">
        <v>666157</v>
      </c>
      <c r="B178" s="9" t="inlineStr">
        <is>
          <t>Nick Lodolo</t>
        </is>
      </c>
      <c r="C178" s="9" t="inlineStr">
        <is>
          <t>CIN</t>
        </is>
      </c>
      <c r="D178" s="9" t="n">
        <v>29</v>
      </c>
      <c r="E178" s="17" t="inlineStr">
        <is>
          <t>L</t>
        </is>
      </c>
      <c r="F178" s="17" t="n"/>
      <c r="G178" s="9" t="n">
        <v>145</v>
      </c>
      <c r="H178" s="9" t="n">
        <v>1887</v>
      </c>
      <c r="I178" s="9" t="inlineStr">
        <is>
          <t>Mid-Rotation Starter (SP2-3)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</f>
        <v/>
      </c>
      <c r="AD178" s="15">
        <f>SUMPRODUCT(M178:X178,$M$6:$X$6)</f>
        <v/>
      </c>
      <c r="AE178" s="19" t="n"/>
    </row>
    <row r="179">
      <c r="A179" s="9" t="n">
        <v>450203</v>
      </c>
      <c r="B179" s="9" t="inlineStr">
        <is>
          <t>Charlie Morton</t>
        </is>
      </c>
      <c r="C179" s="9" t="inlineStr">
        <is>
          <t>ATL</t>
        </is>
      </c>
      <c r="D179" s="9" t="n">
        <v>43</v>
      </c>
      <c r="E179" s="17" t="inlineStr">
        <is>
          <t>R</t>
        </is>
      </c>
      <c r="F179" s="17" t="n"/>
      <c r="G179" s="9" t="n">
        <v>654</v>
      </c>
      <c r="H179" s="9" t="n">
        <v>2799</v>
      </c>
      <c r="I179" s="9" t="inlineStr">
        <is>
          <t>End-of-Rotation Starter (SP4-5)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</f>
        <v/>
      </c>
      <c r="AD179" s="15">
        <f>SUMPRODUCT(M179:X179,$M$6:$X$6)</f>
        <v/>
      </c>
      <c r="AE179" s="19" t="n"/>
    </row>
    <row r="180">
      <c r="A180" s="9" t="n">
        <v>552640</v>
      </c>
      <c r="B180" s="9" t="inlineStr">
        <is>
          <t>Andrew Kittredge</t>
        </is>
      </c>
      <c r="C180" s="9" t="inlineStr">
        <is>
          <t>BAL</t>
        </is>
      </c>
      <c r="D180" s="9" t="n">
        <v>37</v>
      </c>
      <c r="E180" s="17" t="inlineStr">
        <is>
          <t>R</t>
        </is>
      </c>
      <c r="F180" s="17" t="n"/>
      <c r="G180" s="9" t="n">
        <v>65</v>
      </c>
      <c r="H180" s="9" t="n">
        <v>685</v>
      </c>
      <c r="I180" s="9" t="inlineStr">
        <is>
          <t>Late Inning RP (Setup)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</f>
        <v/>
      </c>
      <c r="AD180" s="15">
        <f>SUMPRODUCT(M180:X180,$M$6:$X$6)</f>
        <v/>
      </c>
      <c r="AE180" s="19" t="n"/>
    </row>
    <row r="181">
      <c r="A181" s="9" t="n">
        <v>701581</v>
      </c>
      <c r="B181" s="9" t="inlineStr">
        <is>
          <t>David Festa</t>
        </is>
      </c>
      <c r="C181" s="9" t="inlineStr">
        <is>
          <t>MIN</t>
        </is>
      </c>
      <c r="D181" s="9" t="n">
        <v>27</v>
      </c>
      <c r="E181" s="17" t="inlineStr">
        <is>
          <t>R</t>
        </is>
      </c>
      <c r="F181" s="17" t="n"/>
      <c r="G181" s="9" t="n">
        <v>229</v>
      </c>
      <c r="H181" s="9" t="n">
        <v>506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</f>
        <v/>
      </c>
      <c r="AD181" s="15">
        <f>SUMPRODUCT(M181:X181,$M$6:$X$6)</f>
        <v/>
      </c>
      <c r="AE181" s="19" t="n"/>
    </row>
    <row r="182">
      <c r="A182" s="9" t="n">
        <v>650911</v>
      </c>
      <c r="B182" s="9" t="inlineStr">
        <is>
          <t>Cristopher Sánchez</t>
        </is>
      </c>
      <c r="C182" s="9" t="inlineStr">
        <is>
          <t>PHI</t>
        </is>
      </c>
      <c r="D182" s="9" t="n">
        <v>30</v>
      </c>
      <c r="E182" s="17" t="inlineStr">
        <is>
          <t>L</t>
        </is>
      </c>
      <c r="F182" s="17" t="n"/>
      <c r="G182" s="9" t="n">
        <v>375</v>
      </c>
      <c r="H182" s="9" t="n">
        <v>2509</v>
      </c>
      <c r="I182" s="9" t="inlineStr">
        <is>
          <t>Ace (SP1)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</f>
        <v/>
      </c>
      <c r="AD182" s="15">
        <f>SUMPRODUCT(M182:X182,$M$6:$X$6)</f>
        <v/>
      </c>
      <c r="AE182" s="19" t="n"/>
    </row>
    <row r="183">
      <c r="A183" s="9" t="n">
        <v>680704</v>
      </c>
      <c r="B183" s="9" t="inlineStr">
        <is>
          <t>Nick Sandlin</t>
        </is>
      </c>
      <c r="C183" s="9" t="inlineStr">
        <is>
          <t>LAA</t>
        </is>
      </c>
      <c r="D183" s="9" t="n">
        <v>30</v>
      </c>
      <c r="E183" s="17" t="inlineStr">
        <is>
          <t>R</t>
        </is>
      </c>
      <c r="F183" s="17" t="n"/>
      <c r="G183" s="9" t="n">
        <v>40</v>
      </c>
      <c r="H183" s="9" t="n">
        <v>774</v>
      </c>
      <c r="I183" s="9" t="inlineStr">
        <is>
          <t>Bullpen Depth Arm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</f>
        <v/>
      </c>
      <c r="AD183" s="15">
        <f>SUMPRODUCT(M183:X183,$M$6:$X$6)</f>
        <v/>
      </c>
      <c r="AE183" s="19" t="n"/>
    </row>
    <row r="184">
      <c r="A184" s="9" t="n">
        <v>683175</v>
      </c>
      <c r="B184" s="9" t="inlineStr">
        <is>
          <t>Connor Phillips</t>
        </is>
      </c>
      <c r="C184" s="9" t="inlineStr">
        <is>
          <t>CIN</t>
        </is>
      </c>
      <c r="D184" s="9" t="n">
        <v>26</v>
      </c>
      <c r="E184" s="17" t="inlineStr">
        <is>
          <t>R</t>
        </is>
      </c>
      <c r="F184" s="17" t="n"/>
      <c r="G184" s="9" t="n">
        <v>133</v>
      </c>
      <c r="H184" s="9" t="n">
        <v>327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</f>
        <v/>
      </c>
      <c r="AD184" s="15">
        <f>SUMPRODUCT(M184:X184,$M$6:$X$6)</f>
        <v/>
      </c>
      <c r="AE184" s="19" t="n"/>
    </row>
    <row r="185">
      <c r="A185" s="9" t="n">
        <v>813349</v>
      </c>
      <c r="B185" s="9" t="inlineStr">
        <is>
          <t>Connelly Early</t>
        </is>
      </c>
      <c r="C185" s="9" t="inlineStr">
        <is>
          <t>BOS</t>
        </is>
      </c>
      <c r="D185" s="9" t="n">
        <v>25</v>
      </c>
      <c r="E185" s="17" t="inlineStr">
        <is>
          <t>L</t>
        </is>
      </c>
      <c r="F185" s="17" t="n"/>
      <c r="G185" s="9" t="n">
        <v>300</v>
      </c>
      <c r="H185" s="9" t="n">
        <v>379</v>
      </c>
      <c r="I185" s="9" t="inlineStr">
        <is>
          <t>Mid-Rotation Starter (SP2-3)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</f>
        <v/>
      </c>
      <c r="AD185" s="15">
        <f>SUMPRODUCT(M185:X185,$M$6:$X$6)</f>
        <v/>
      </c>
      <c r="AE185" s="19" t="n"/>
    </row>
    <row r="186">
      <c r="A186" s="9" t="n">
        <v>671737</v>
      </c>
      <c r="B186" s="9" t="inlineStr">
        <is>
          <t>Taj Bradley</t>
        </is>
      </c>
      <c r="C186" s="9" t="inlineStr">
        <is>
          <t>MIN</t>
        </is>
      </c>
      <c r="D186" s="9" t="n">
        <v>26</v>
      </c>
      <c r="E186" s="17" t="inlineStr">
        <is>
          <t>R</t>
        </is>
      </c>
      <c r="F186" s="17" t="n"/>
      <c r="G186" s="9" t="n">
        <v>284</v>
      </c>
      <c r="H186" s="9" t="n">
        <v>1927</v>
      </c>
      <c r="I186" s="9" t="inlineStr">
        <is>
          <t>Mid-Rotation Starter (SP2-3)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</f>
        <v/>
      </c>
      <c r="AD186" s="15">
        <f>SUMPRODUCT(M186:X186,$M$6:$X$6)</f>
        <v/>
      </c>
      <c r="AE186" s="19" t="n"/>
    </row>
    <row r="187">
      <c r="A187" s="9" t="n">
        <v>607481</v>
      </c>
      <c r="B187" s="9" t="inlineStr">
        <is>
          <t>Aaron Bummer</t>
        </is>
      </c>
      <c r="C187" s="9" t="inlineStr">
        <is>
          <t>ATL</t>
        </is>
      </c>
      <c r="D187" s="9" t="n">
        <v>33</v>
      </c>
      <c r="E187" s="17" t="inlineStr">
        <is>
          <t>L</t>
        </is>
      </c>
      <c r="F187" s="17" t="n"/>
      <c r="G187" s="9" t="n">
        <v>77</v>
      </c>
      <c r="H187" s="9" t="n">
        <v>940</v>
      </c>
      <c r="I187" s="9" t="inlineStr">
        <is>
          <t>Bullpen Depth Arm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</f>
        <v/>
      </c>
      <c r="AD187" s="15">
        <f>SUMPRODUCT(M187:X187,$M$6:$X$6)</f>
        <v/>
      </c>
      <c r="AE187" s="19" t="n"/>
    </row>
    <row r="188">
      <c r="A188" s="9" t="n">
        <v>806185</v>
      </c>
      <c r="B188" s="9" t="inlineStr">
        <is>
          <t>Hayden Birdsong</t>
        </is>
      </c>
      <c r="C188" s="9" t="inlineStr">
        <is>
          <t>SF</t>
        </is>
      </c>
      <c r="D188" s="9" t="n">
        <v>25</v>
      </c>
      <c r="E188" s="17" t="inlineStr">
        <is>
          <t>R</t>
        </is>
      </c>
      <c r="F188" s="17" t="n"/>
      <c r="G188" s="9" t="n">
        <v>298</v>
      </c>
      <c r="H188" s="9" t="n">
        <v>613</v>
      </c>
      <c r="I188" s="9" t="inlineStr">
        <is>
          <t>End-of-Rotation Starter (SP4-5)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</f>
        <v/>
      </c>
      <c r="AD188" s="15">
        <f>SUMPRODUCT(M188:X188,$M$6:$X$6)</f>
        <v/>
      </c>
      <c r="AE188" s="19" t="n"/>
    </row>
    <row r="189">
      <c r="A189" s="9" t="n">
        <v>669308</v>
      </c>
      <c r="B189" s="9" t="inlineStr">
        <is>
          <t>Sean Reynolds</t>
        </is>
      </c>
      <c r="C189" s="9" t="inlineStr">
        <is>
          <t>SD</t>
        </is>
      </c>
      <c r="D189" s="9" t="n">
        <v>29</v>
      </c>
      <c r="E189" s="17" t="inlineStr">
        <is>
          <t>R</t>
        </is>
      </c>
      <c r="F189" s="17" t="n"/>
      <c r="G189" s="9" t="n">
        <v>117</v>
      </c>
      <c r="H189" s="9" t="n">
        <v>166</v>
      </c>
      <c r="I189" s="9" t="inlineStr">
        <is>
          <t>Bullpen Depth Arm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</f>
        <v/>
      </c>
      <c r="AD189" s="15">
        <f>SUMPRODUCT(M189:X189,$M$6:$X$6)</f>
        <v/>
      </c>
      <c r="AE189" s="19" t="n"/>
    </row>
    <row r="190">
      <c r="A190" s="9" t="n">
        <v>689520</v>
      </c>
      <c r="B190" s="9" t="inlineStr">
        <is>
          <t>Cody Laweryson</t>
        </is>
      </c>
      <c r="C190" s="9" t="inlineStr">
        <is>
          <t>MIN</t>
        </is>
      </c>
      <c r="D190" s="9" t="n">
        <v>29</v>
      </c>
      <c r="E190" s="17" t="inlineStr">
        <is>
          <t>R</t>
        </is>
      </c>
      <c r="F190" s="17" t="n"/>
      <c r="G190" s="9" t="n">
        <v>50</v>
      </c>
      <c r="H190" s="9" t="n">
        <v>76</v>
      </c>
      <c r="I190" s="9" t="inlineStr">
        <is>
          <t>Late Inning RP (Setup)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</f>
        <v/>
      </c>
      <c r="AD190" s="15">
        <f>SUMPRODUCT(M190:X190,$M$6:$X$6)</f>
        <v/>
      </c>
      <c r="AE190" s="19" t="n"/>
    </row>
    <row r="191">
      <c r="A191" s="9" t="n">
        <v>676282</v>
      </c>
      <c r="B191" s="9" t="inlineStr">
        <is>
          <t>Joey Cantillo</t>
        </is>
      </c>
      <c r="C191" s="9" t="inlineStr">
        <is>
          <t>CLE</t>
        </is>
      </c>
      <c r="D191" s="9" t="n">
        <v>27</v>
      </c>
      <c r="E191" s="17" t="inlineStr">
        <is>
          <t>L</t>
        </is>
      </c>
      <c r="F191" s="17" t="n"/>
      <c r="G191" s="9" t="n">
        <v>291</v>
      </c>
      <c r="H191" s="9" t="n">
        <v>855</v>
      </c>
      <c r="I191" s="9" t="inlineStr">
        <is>
          <t>End-of-Rotation Starter (SP4-5)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</f>
        <v/>
      </c>
      <c r="AD191" s="15">
        <f>SUMPRODUCT(M191:X191,$M$6:$X$6)</f>
        <v/>
      </c>
      <c r="AE191" s="19" t="n"/>
    </row>
    <row r="192">
      <c r="A192" s="9" t="n">
        <v>701542</v>
      </c>
      <c r="B192" s="9" t="inlineStr">
        <is>
          <t>Will Warren</t>
        </is>
      </c>
      <c r="C192" s="9" t="inlineStr">
        <is>
          <t>NYY</t>
        </is>
      </c>
      <c r="D192" s="9" t="n">
        <v>28</v>
      </c>
      <c r="E192" s="17" t="inlineStr">
        <is>
          <t>R</t>
        </is>
      </c>
      <c r="F192" s="17" t="n"/>
      <c r="G192" s="9" t="n">
        <v>291</v>
      </c>
      <c r="H192" s="9" t="n">
        <v>1112</v>
      </c>
      <c r="I192" s="9" t="inlineStr">
        <is>
          <t>End-of-Rotation Starter (SP4-5)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</f>
        <v/>
      </c>
      <c r="AD192" s="15">
        <f>SUMPRODUCT(M192:X192,$M$6:$X$6)</f>
        <v/>
      </c>
      <c r="AE192" s="19" t="n"/>
    </row>
    <row r="193">
      <c r="A193" s="9" t="n">
        <v>682790</v>
      </c>
      <c r="B193" s="9" t="inlineStr">
        <is>
          <t>Wikelman González</t>
        </is>
      </c>
      <c r="C193" s="9" t="inlineStr">
        <is>
          <t>CWS</t>
        </is>
      </c>
      <c r="D193" s="9" t="n">
        <v>25</v>
      </c>
      <c r="E193" s="17" t="inlineStr">
        <is>
          <t>R</t>
        </is>
      </c>
      <c r="F193" s="17" t="n"/>
      <c r="G193" s="9" t="n">
        <v>87</v>
      </c>
      <c r="H193" s="9" t="n">
        <v>87</v>
      </c>
      <c r="I193" s="9" t="inlineStr">
        <is>
          <t>Middle Relief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</f>
        <v/>
      </c>
      <c r="AD193" s="15">
        <f>SUMPRODUCT(M193:X193,$M$6:$X$6)</f>
        <v/>
      </c>
      <c r="AE193" s="19" t="n"/>
    </row>
    <row r="194">
      <c r="A194" s="9" t="n">
        <v>688158</v>
      </c>
      <c r="B194" s="9" t="inlineStr">
        <is>
          <t>David Morgan</t>
        </is>
      </c>
      <c r="C194" s="9" t="inlineStr">
        <is>
          <t>SD</t>
        </is>
      </c>
      <c r="D194" s="9" t="n">
        <v>27</v>
      </c>
      <c r="E194" s="17" t="inlineStr">
        <is>
          <t>R</t>
        </is>
      </c>
      <c r="F194" s="17" t="n"/>
      <c r="G194" s="9" t="n">
        <v>83</v>
      </c>
      <c r="H194" s="9" t="n">
        <v>276</v>
      </c>
      <c r="I194" s="9" t="inlineStr">
        <is>
          <t>Middle Relief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</f>
        <v/>
      </c>
      <c r="AD194" s="15">
        <f>SUMPRODUCT(M194:X194,$M$6:$X$6)</f>
        <v/>
      </c>
      <c r="AE194" s="19" t="n"/>
    </row>
    <row r="195">
      <c r="A195" s="9" t="n">
        <v>657240</v>
      </c>
      <c r="B195" s="9" t="inlineStr">
        <is>
          <t>Julian Merryweather</t>
        </is>
      </c>
      <c r="C195" s="9" t="inlineStr">
        <is>
          <t>CHC</t>
        </is>
      </c>
      <c r="D195" s="9" t="n">
        <v>35</v>
      </c>
      <c r="E195" s="17" t="inlineStr">
        <is>
          <t>R</t>
        </is>
      </c>
      <c r="F195" s="17" t="n"/>
      <c r="G195" s="9" t="n">
        <v>88</v>
      </c>
      <c r="H195" s="9" t="n">
        <v>584</v>
      </c>
      <c r="I195" s="9" t="inlineStr">
        <is>
          <t>Bullpen Depth Arm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</f>
        <v/>
      </c>
      <c r="AD195" s="15">
        <f>SUMPRODUCT(M195:X195,$M$6:$X$6)</f>
        <v/>
      </c>
      <c r="AE195" s="19" t="n"/>
    </row>
    <row r="196">
      <c r="A196" s="9" t="n">
        <v>670329</v>
      </c>
      <c r="B196" s="9" t="inlineStr">
        <is>
          <t>Rico Garcia</t>
        </is>
      </c>
      <c r="C196" s="9" t="inlineStr">
        <is>
          <t>BAL</t>
        </is>
      </c>
      <c r="D196" s="9" t="n">
        <v>33</v>
      </c>
      <c r="E196" s="17" t="inlineStr">
        <is>
          <t>R</t>
        </is>
      </c>
      <c r="F196" s="17" t="n"/>
      <c r="G196" s="9" t="n">
        <v>100</v>
      </c>
      <c r="H196" s="9" t="n">
        <v>337</v>
      </c>
      <c r="I196" s="9" t="inlineStr">
        <is>
          <t>Middle Relief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</f>
        <v/>
      </c>
      <c r="AD196" s="15">
        <f>SUMPRODUCT(M196:X196,$M$6:$X$6)</f>
        <v/>
      </c>
      <c r="AE196" s="19" t="n"/>
    </row>
    <row r="197">
      <c r="A197" s="9" t="n">
        <v>671212</v>
      </c>
      <c r="B197" s="9" t="inlineStr">
        <is>
          <t>Joe Boyle</t>
        </is>
      </c>
      <c r="C197" s="9" t="inlineStr">
        <is>
          <t>TB</t>
        </is>
      </c>
      <c r="D197" s="9" t="n">
        <v>27</v>
      </c>
      <c r="E197" s="17" t="inlineStr">
        <is>
          <t>R</t>
        </is>
      </c>
      <c r="F197" s="17" t="n"/>
      <c r="G197" s="9" t="n">
        <v>66</v>
      </c>
      <c r="H197" s="9" t="n">
        <v>578</v>
      </c>
      <c r="I197" s="9" t="inlineStr">
        <is>
          <t>End-of-Rotation Starter (SP4-5)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</f>
        <v/>
      </c>
      <c r="AD197" s="15">
        <f>SUMPRODUCT(M197:X197,$M$6:$X$6)</f>
        <v/>
      </c>
      <c r="AE197" s="19" t="n"/>
    </row>
    <row r="198">
      <c r="A198" s="9" t="n">
        <v>664299</v>
      </c>
      <c r="B198" s="9" t="inlineStr">
        <is>
          <t>Cristian Javier</t>
        </is>
      </c>
      <c r="C198" s="9" t="inlineStr">
        <is>
          <t>HOU</t>
        </is>
      </c>
      <c r="D198" s="9" t="n">
        <v>30</v>
      </c>
      <c r="E198" s="17" t="inlineStr">
        <is>
          <t>R</t>
        </is>
      </c>
      <c r="F198" s="17" t="n"/>
      <c r="G198" s="9" t="n">
        <v>48</v>
      </c>
      <c r="H198" s="9" t="n">
        <v>1627</v>
      </c>
      <c r="I198" s="9" t="inlineStr">
        <is>
          <t>End-of-Rotation Starter (SP4-5)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</f>
        <v/>
      </c>
      <c r="AD198" s="15">
        <f>SUMPRODUCT(M198:X198,$M$6:$X$6)</f>
        <v/>
      </c>
      <c r="AE198" s="19" t="n"/>
    </row>
    <row r="199">
      <c r="A199" s="9" t="n">
        <v>800048</v>
      </c>
      <c r="B199" s="9" t="inlineStr">
        <is>
          <t>Parker Messick</t>
        </is>
      </c>
      <c r="C199" s="9" t="inlineStr">
        <is>
          <t>CLE</t>
        </is>
      </c>
      <c r="D199" s="9" t="n">
        <v>26</v>
      </c>
      <c r="E199" s="17" t="inlineStr">
        <is>
          <t>L</t>
        </is>
      </c>
      <c r="F199" s="17" t="n"/>
      <c r="G199" s="9" t="n">
        <v>299</v>
      </c>
      <c r="H199" s="9" t="n">
        <v>464</v>
      </c>
      <c r="I199" s="9" t="inlineStr">
        <is>
          <t>Mid-Rotation Starter (SP2-3)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</f>
        <v/>
      </c>
      <c r="AD199" s="15">
        <f>SUMPRODUCT(M199:X199,$M$6:$X$6)</f>
        <v/>
      </c>
      <c r="AE199" s="19" t="n"/>
    </row>
    <row r="200">
      <c r="A200" s="9" t="n">
        <v>676684</v>
      </c>
      <c r="B200" s="9" t="inlineStr">
        <is>
          <t>Will Vest</t>
        </is>
      </c>
      <c r="C200" s="9" t="inlineStr">
        <is>
          <t>DET</t>
        </is>
      </c>
      <c r="D200" s="9" t="n">
        <v>32</v>
      </c>
      <c r="E200" s="17" t="inlineStr">
        <is>
          <t>R</t>
        </is>
      </c>
      <c r="F200" s="17" t="n"/>
      <c r="G200" s="9" t="n">
        <v>91</v>
      </c>
      <c r="H200" s="9" t="n">
        <v>1135</v>
      </c>
      <c r="I200" s="9" t="inlineStr">
        <is>
          <t>Closer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</f>
        <v/>
      </c>
      <c r="AD200" s="15">
        <f>SUMPRODUCT(M200:X200,$M$6:$X$6)</f>
        <v/>
      </c>
      <c r="AE200" s="19" t="n"/>
    </row>
    <row r="201">
      <c r="A201" s="9" t="n">
        <v>542888</v>
      </c>
      <c r="B201" s="9" t="inlineStr">
        <is>
          <t>Shawn Armstrong</t>
        </is>
      </c>
      <c r="C201" s="9" t="inlineStr">
        <is>
          <t>CLE</t>
        </is>
      </c>
      <c r="D201" s="9" t="n">
        <v>36</v>
      </c>
      <c r="E201" s="17" t="inlineStr">
        <is>
          <t>R</t>
        </is>
      </c>
      <c r="F201" s="17" t="n"/>
      <c r="G201" s="9" t="n">
        <v>78</v>
      </c>
      <c r="H201" s="9" t="n">
        <v>1133</v>
      </c>
      <c r="I201" s="9" t="inlineStr">
        <is>
          <t>Middle Relief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</f>
        <v/>
      </c>
      <c r="AD201" s="15">
        <f>SUMPRODUCT(M201:X201,$M$6:$X$6)</f>
        <v/>
      </c>
      <c r="AE201" s="19" t="n"/>
    </row>
    <row r="202">
      <c r="A202" s="9" t="n">
        <v>664991</v>
      </c>
      <c r="B202" s="9" t="inlineStr">
        <is>
          <t>Grant Wolfram</t>
        </is>
      </c>
      <c r="C202" s="9" t="inlineStr">
        <is>
          <t>BAL</t>
        </is>
      </c>
      <c r="D202" s="9" t="n">
        <v>30</v>
      </c>
      <c r="E202" s="17" t="inlineStr">
        <is>
          <t>L</t>
        </is>
      </c>
      <c r="F202" s="17" t="n"/>
      <c r="G202" s="9" t="n">
        <v>81</v>
      </c>
      <c r="H202" s="9" t="n">
        <v>214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</f>
        <v/>
      </c>
      <c r="AD202" s="15">
        <f>SUMPRODUCT(M202:X202,$M$6:$X$6)</f>
        <v/>
      </c>
      <c r="AE202" s="19" t="n"/>
    </row>
    <row r="203">
      <c r="A203" s="9" t="n">
        <v>622491</v>
      </c>
      <c r="B203" s="9" t="inlineStr">
        <is>
          <t>Luis Castillo</t>
        </is>
      </c>
      <c r="C203" s="9" t="inlineStr">
        <is>
          <t>SEA</t>
        </is>
      </c>
      <c r="D203" s="9" t="n">
        <v>34</v>
      </c>
      <c r="E203" s="17" t="inlineStr">
        <is>
          <t>R</t>
        </is>
      </c>
      <c r="F203" s="17" t="n"/>
      <c r="G203" s="9" t="n">
        <v>271</v>
      </c>
      <c r="H203" s="9" t="n">
        <v>3152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</f>
        <v/>
      </c>
      <c r="AD203" s="15">
        <f>SUMPRODUCT(M203:X203,$M$6:$X$6)</f>
        <v/>
      </c>
      <c r="AE203" s="19" t="n"/>
    </row>
    <row r="204">
      <c r="A204" s="9" t="n">
        <v>641755</v>
      </c>
      <c r="B204" s="9" t="inlineStr">
        <is>
          <t>Tyler Kinley</t>
        </is>
      </c>
      <c r="C204" s="9" t="inlineStr">
        <is>
          <t>ATL</t>
        </is>
      </c>
      <c r="D204" s="9" t="n">
        <v>36</v>
      </c>
      <c r="E204" s="17" t="inlineStr">
        <is>
          <t>R</t>
        </is>
      </c>
      <c r="F204" s="17" t="n"/>
      <c r="G204" s="9" t="n">
        <v>119</v>
      </c>
      <c r="H204" s="9" t="n">
        <v>888</v>
      </c>
      <c r="I204" s="9" t="inlineStr">
        <is>
          <t>Middle Relief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</f>
        <v/>
      </c>
      <c r="AD204" s="15">
        <f>SUMPRODUCT(M204:X204,$M$6:$X$6)</f>
        <v/>
      </c>
      <c r="AE204" s="19" t="n"/>
    </row>
    <row r="205">
      <c r="A205" s="9" t="n">
        <v>686993</v>
      </c>
      <c r="B205" s="9" t="inlineStr">
        <is>
          <t>Justin Sterner</t>
        </is>
      </c>
      <c r="C205" s="9" t="inlineStr">
        <is>
          <t>OAK</t>
        </is>
      </c>
      <c r="D205" s="9" t="n">
        <v>30</v>
      </c>
      <c r="E205" s="17" t="inlineStr">
        <is>
          <t>R</t>
        </is>
      </c>
      <c r="F205" s="17" t="n"/>
      <c r="G205" s="9" t="n">
        <v>124</v>
      </c>
      <c r="H205" s="9" t="n">
        <v>409</v>
      </c>
      <c r="I205" s="9" t="inlineStr">
        <is>
          <t>Late Inning RP (Setup)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</f>
        <v/>
      </c>
      <c r="AD205" s="15">
        <f>SUMPRODUCT(M205:X205,$M$6:$X$6)</f>
        <v/>
      </c>
      <c r="AE205" s="19" t="n"/>
    </row>
    <row r="206">
      <c r="A206" s="9" t="n">
        <v>596133</v>
      </c>
      <c r="B206" s="9" t="inlineStr">
        <is>
          <t>Luke Weaver</t>
        </is>
      </c>
      <c r="C206" s="9" t="inlineStr">
        <is>
          <t>NYM</t>
        </is>
      </c>
      <c r="D206" s="9" t="n">
        <v>33</v>
      </c>
      <c r="E206" s="17" t="inlineStr">
        <is>
          <t>R</t>
        </is>
      </c>
      <c r="F206" s="17" t="n"/>
      <c r="G206" s="9" t="n">
        <v>116</v>
      </c>
      <c r="H206" s="9" t="n">
        <v>1446</v>
      </c>
      <c r="I206" s="9" t="inlineStr">
        <is>
          <t>Middle Relief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</f>
        <v/>
      </c>
      <c r="AD206" s="15">
        <f>SUMPRODUCT(M206:X206,$M$6:$X$6)</f>
        <v/>
      </c>
      <c r="AE206" s="19" t="n"/>
    </row>
    <row r="207">
      <c r="A207" s="9" t="n">
        <v>673513</v>
      </c>
      <c r="B207" s="9" t="inlineStr">
        <is>
          <t>Yuki Matsui</t>
        </is>
      </c>
      <c r="C207" s="9" t="inlineStr">
        <is>
          <t>SD</t>
        </is>
      </c>
      <c r="D207" s="9" t="n">
        <v>31</v>
      </c>
      <c r="E207" s="17" t="inlineStr">
        <is>
          <t>L</t>
        </is>
      </c>
      <c r="F207" s="17" t="n"/>
      <c r="G207" s="9" t="n">
        <v>76</v>
      </c>
      <c r="H207" s="9" t="n">
        <v>605</v>
      </c>
      <c r="I207" s="9" t="inlineStr">
        <is>
          <t>Bullpen Depth Arm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</f>
        <v/>
      </c>
      <c r="AD207" s="15">
        <f>SUMPRODUCT(M207:X207,$M$6:$X$6)</f>
        <v/>
      </c>
      <c r="AE207" s="19" t="n"/>
    </row>
    <row r="208">
      <c r="A208" s="9" t="n">
        <v>675848</v>
      </c>
      <c r="B208" s="9" t="inlineStr">
        <is>
          <t>Juan Mejia</t>
        </is>
      </c>
      <c r="C208" s="9" t="inlineStr">
        <is>
          <t>COL</t>
        </is>
      </c>
      <c r="D208" s="9" t="n">
        <v>26</v>
      </c>
      <c r="E208" s="17" t="inlineStr">
        <is>
          <t>R</t>
        </is>
      </c>
      <c r="F208" s="17" t="n"/>
      <c r="G208" s="9" t="n">
        <v>140</v>
      </c>
      <c r="H208" s="9" t="n">
        <v>401</v>
      </c>
      <c r="I208" s="9" t="inlineStr">
        <is>
          <t>Late Inning RP (Setup)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</f>
        <v/>
      </c>
      <c r="AD208" s="15">
        <f>SUMPRODUCT(M208:X208,$M$6:$X$6)</f>
        <v/>
      </c>
      <c r="AE208" s="19" t="n"/>
    </row>
    <row r="209">
      <c r="A209" s="9" t="n">
        <v>702056</v>
      </c>
      <c r="B209" s="9" t="inlineStr">
        <is>
          <t>Trey Yesavage</t>
        </is>
      </c>
      <c r="C209" s="9" t="inlineStr">
        <is>
          <t>TOR</t>
        </is>
      </c>
      <c r="D209" s="9" t="n">
        <v>23</v>
      </c>
      <c r="E209" s="17" t="inlineStr">
        <is>
          <t>R</t>
        </is>
      </c>
      <c r="F209" s="17" t="n"/>
      <c r="G209" s="9" t="n">
        <v>173</v>
      </c>
      <c r="H209" s="9" t="n">
        <v>235</v>
      </c>
      <c r="I209" s="9" t="inlineStr">
        <is>
          <t>Mid-Rotation Starter (SP2-3)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</f>
        <v/>
      </c>
      <c r="AD209" s="15">
        <f>SUMPRODUCT(M209:X209,$M$6:$X$6)</f>
        <v/>
      </c>
      <c r="AE209" s="19" t="n"/>
    </row>
    <row r="210">
      <c r="A210" s="9" t="n">
        <v>801139</v>
      </c>
      <c r="B210" s="9" t="inlineStr">
        <is>
          <t>Payton Tolle</t>
        </is>
      </c>
      <c r="C210" s="9" t="inlineStr">
        <is>
          <t>BOS</t>
        </is>
      </c>
      <c r="D210" s="9" t="n">
        <v>24</v>
      </c>
      <c r="E210" s="17" t="inlineStr">
        <is>
          <t>L</t>
        </is>
      </c>
      <c r="F210" s="17" t="n"/>
      <c r="G210" s="9" t="n">
        <v>215</v>
      </c>
      <c r="H210" s="9" t="n">
        <v>289</v>
      </c>
      <c r="I210" s="9" t="inlineStr">
        <is>
          <t>Mid-Rotation Starter (SP2-3)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</f>
        <v/>
      </c>
      <c r="AD210" s="15">
        <f>SUMPRODUCT(M210:X210,$M$6:$X$6)</f>
        <v/>
      </c>
      <c r="AE210" s="19" t="n"/>
    </row>
    <row r="211">
      <c r="A211" s="9" t="n">
        <v>677651</v>
      </c>
      <c r="B211" s="9" t="inlineStr">
        <is>
          <t>Luis Garcia</t>
        </is>
      </c>
      <c r="C211" s="9" t="inlineStr">
        <is>
          <t>HOU</t>
        </is>
      </c>
      <c r="D211" s="9" t="n">
        <v>30</v>
      </c>
      <c r="E211" s="17" t="inlineStr">
        <is>
          <t>R</t>
        </is>
      </c>
      <c r="F211" s="17" t="n"/>
      <c r="G211" s="9" t="n">
        <v>28</v>
      </c>
      <c r="H211" s="9" t="n">
        <v>786</v>
      </c>
      <c r="I211" s="9" t="inlineStr">
        <is>
          <t>End-of-Rotation Starter (SP4-5)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</f>
        <v/>
      </c>
      <c r="AD211" s="15">
        <f>SUMPRODUCT(M211:X211,$M$6:$X$6)</f>
        <v/>
      </c>
      <c r="AE211" s="19" t="n"/>
    </row>
    <row r="212">
      <c r="A212" s="9" t="n">
        <v>687570</v>
      </c>
      <c r="B212" s="9" t="inlineStr">
        <is>
          <t>Connor Prielipp</t>
        </is>
      </c>
      <c r="C212" s="9" t="inlineStr">
        <is>
          <t>MIN</t>
        </is>
      </c>
      <c r="D212" s="9" t="n">
        <v>26</v>
      </c>
      <c r="E212" s="17" t="inlineStr">
        <is>
          <t>L</t>
        </is>
      </c>
      <c r="F212" s="17" t="n"/>
      <c r="G212" s="9" t="n">
        <v>191</v>
      </c>
      <c r="H212" s="9" t="n">
        <v>191</v>
      </c>
      <c r="I212" s="9" t="inlineStr">
        <is>
          <t>End-of-Rotation Starter (SP4-5)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</f>
        <v/>
      </c>
      <c r="AD212" s="15">
        <f>SUMPRODUCT(M212:X212,$M$6:$X$6)</f>
        <v/>
      </c>
      <c r="AE212" s="19" t="n"/>
    </row>
    <row r="213">
      <c r="A213" s="9" t="n">
        <v>820862</v>
      </c>
      <c r="B213" s="9" t="inlineStr">
        <is>
          <t>José Fermin</t>
        </is>
      </c>
      <c r="C213" s="9" t="inlineStr">
        <is>
          <t>LAA</t>
        </is>
      </c>
      <c r="D213" s="9" t="n">
        <v>25</v>
      </c>
      <c r="E213" s="17" t="inlineStr">
        <is>
          <t>R</t>
        </is>
      </c>
      <c r="F213" s="17" t="n"/>
      <c r="G213" s="9" t="n">
        <v>71</v>
      </c>
      <c r="H213" s="9" t="n">
        <v>223</v>
      </c>
      <c r="I213" s="9" t="inlineStr">
        <is>
          <t>Bullpen Depth Arm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</f>
        <v/>
      </c>
      <c r="AD213" s="15">
        <f>SUMPRODUCT(M213:X213,$M$6:$X$6)</f>
        <v/>
      </c>
      <c r="AE213" s="19" t="n"/>
    </row>
    <row r="214">
      <c r="A214" s="9" t="n">
        <v>543056</v>
      </c>
      <c r="B214" s="9" t="inlineStr">
        <is>
          <t>Danny Coulombe</t>
        </is>
      </c>
      <c r="C214" s="9" t="inlineStr">
        <is>
          <t>BOS</t>
        </is>
      </c>
      <c r="D214" s="9" t="n">
        <v>37</v>
      </c>
      <c r="E214" s="17" t="inlineStr">
        <is>
          <t>L</t>
        </is>
      </c>
      <c r="F214" s="17" t="n"/>
      <c r="G214" s="9" t="n">
        <v>56</v>
      </c>
      <c r="H214" s="9" t="n">
        <v>602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</f>
        <v/>
      </c>
      <c r="AD214" s="15">
        <f>SUMPRODUCT(M214:X214,$M$6:$X$6)</f>
        <v/>
      </c>
      <c r="AE214" s="19" t="n"/>
    </row>
    <row r="215">
      <c r="A215" s="9" t="n">
        <v>657006</v>
      </c>
      <c r="B215" s="9" t="inlineStr">
        <is>
          <t>Justin Steele</t>
        </is>
      </c>
      <c r="C215" s="9" t="inlineStr">
        <is>
          <t>CHC</t>
        </is>
      </c>
      <c r="D215" s="9" t="n">
        <v>31</v>
      </c>
      <c r="E215" s="17" t="inlineStr">
        <is>
          <t>L</t>
        </is>
      </c>
      <c r="F215" s="17" t="n"/>
      <c r="G215" s="9" t="n">
        <v>92</v>
      </c>
      <c r="H215" s="9" t="n">
        <v>1875</v>
      </c>
      <c r="I215" s="9" t="inlineStr">
        <is>
          <t>Mid-Rotation Starter (SP2-3)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</f>
        <v/>
      </c>
      <c r="AD215" s="15">
        <f>SUMPRODUCT(M215:X215,$M$6:$X$6)</f>
        <v/>
      </c>
      <c r="AE215" s="19" t="n"/>
    </row>
    <row r="216">
      <c r="A216" s="9" t="n">
        <v>506433</v>
      </c>
      <c r="B216" s="9" t="inlineStr">
        <is>
          <t>Yu Darvish</t>
        </is>
      </c>
      <c r="C216" s="9" t="inlineStr">
        <is>
          <t>SD</t>
        </is>
      </c>
      <c r="D216" s="9" t="n">
        <v>40</v>
      </c>
      <c r="E216" s="17" t="inlineStr">
        <is>
          <t>R</t>
        </is>
      </c>
      <c r="F216" s="17" t="n"/>
      <c r="G216" s="9" t="n">
        <v>296</v>
      </c>
      <c r="H216" s="9" t="n">
        <v>1972</v>
      </c>
      <c r="I216" s="9" t="inlineStr">
        <is>
          <t>End-of-Rotation Starter (SP4-5)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</f>
        <v/>
      </c>
      <c r="AD216" s="15">
        <f>SUMPRODUCT(M216:X216,$M$6:$X$6)</f>
        <v/>
      </c>
      <c r="AE216" s="19" t="n"/>
    </row>
    <row r="217">
      <c r="A217" s="9" t="n">
        <v>678022</v>
      </c>
      <c r="B217" s="9" t="inlineStr">
        <is>
          <t>Jack Perkins</t>
        </is>
      </c>
      <c r="C217" s="9" t="inlineStr">
        <is>
          <t>OAK</t>
        </is>
      </c>
      <c r="D217" s="9" t="n">
        <v>27</v>
      </c>
      <c r="E217" s="17" t="inlineStr">
        <is>
          <t>R</t>
        </is>
      </c>
      <c r="F217" s="17" t="n"/>
      <c r="G217" s="9" t="n">
        <v>144</v>
      </c>
      <c r="H217" s="9" t="n">
        <v>305</v>
      </c>
      <c r="I217" s="9" t="inlineStr">
        <is>
          <t>Middle Relief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</f>
        <v/>
      </c>
      <c r="AD217" s="15">
        <f>SUMPRODUCT(M217:X217,$M$6:$X$6)</f>
        <v/>
      </c>
      <c r="AE217" s="19" t="n"/>
    </row>
    <row r="218">
      <c r="A218" s="9" t="n">
        <v>519151</v>
      </c>
      <c r="B218" s="9" t="inlineStr">
        <is>
          <t>Ryan Pressly</t>
        </is>
      </c>
      <c r="C218" s="9" t="inlineStr">
        <is>
          <t>CHC</t>
        </is>
      </c>
      <c r="D218" s="9" t="n">
        <v>38</v>
      </c>
      <c r="E218" s="17" t="inlineStr">
        <is>
          <t>R</t>
        </is>
      </c>
      <c r="F218" s="17" t="n"/>
      <c r="G218" s="9" t="n">
        <v>182</v>
      </c>
      <c r="H218" s="9" t="n">
        <v>876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</f>
        <v/>
      </c>
      <c r="AD218" s="15">
        <f>SUMPRODUCT(M218:X218,$M$6:$X$6)</f>
        <v/>
      </c>
      <c r="AE218" s="19" t="n"/>
    </row>
    <row r="219">
      <c r="A219" s="9" t="n">
        <v>676263</v>
      </c>
      <c r="B219" s="9" t="inlineStr">
        <is>
          <t>Jack Dreyer</t>
        </is>
      </c>
      <c r="C219" s="9" t="inlineStr">
        <is>
          <t>LAD</t>
        </is>
      </c>
      <c r="D219" s="9" t="n">
        <v>28</v>
      </c>
      <c r="E219" s="17" t="inlineStr">
        <is>
          <t>L</t>
        </is>
      </c>
      <c r="F219" s="17" t="n"/>
      <c r="G219" s="9" t="n">
        <v>101</v>
      </c>
      <c r="H219" s="9" t="n">
        <v>408</v>
      </c>
      <c r="I219" s="9" t="inlineStr">
        <is>
          <t>Late Inning RP (Setup)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</f>
        <v/>
      </c>
      <c r="AD219" s="15">
        <f>SUMPRODUCT(M219:X219,$M$6:$X$6)</f>
        <v/>
      </c>
      <c r="AE219" s="19" t="n"/>
    </row>
    <row r="220">
      <c r="A220" s="9" t="n">
        <v>669211</v>
      </c>
      <c r="B220" s="9" t="inlineStr">
        <is>
          <t>Keegan Akin</t>
        </is>
      </c>
      <c r="C220" s="9" t="inlineStr">
        <is>
          <t>BAL</t>
        </is>
      </c>
      <c r="D220" s="9" t="n">
        <v>32</v>
      </c>
      <c r="E220" s="17" t="inlineStr">
        <is>
          <t>L</t>
        </is>
      </c>
      <c r="F220" s="17" t="n"/>
      <c r="G220" s="9" t="n">
        <v>83</v>
      </c>
      <c r="H220" s="9" t="n">
        <v>1105</v>
      </c>
      <c r="I220" s="9" t="inlineStr">
        <is>
          <t>Middle Relief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</f>
        <v/>
      </c>
      <c r="AD220" s="15">
        <f>SUMPRODUCT(M220:X220,$M$6:$X$6)</f>
        <v/>
      </c>
      <c r="AE220" s="19" t="n"/>
    </row>
    <row r="221">
      <c r="A221" s="9" t="n">
        <v>681293</v>
      </c>
      <c r="B221" s="9" t="inlineStr">
        <is>
          <t>Spencer Arrighetti</t>
        </is>
      </c>
      <c r="C221" s="9" t="inlineStr">
        <is>
          <t>HOU</t>
        </is>
      </c>
      <c r="D221" s="9" t="n">
        <v>27</v>
      </c>
      <c r="E221" s="17" t="inlineStr">
        <is>
          <t>R</t>
        </is>
      </c>
      <c r="F221" s="17" t="n"/>
      <c r="G221" s="9" t="n">
        <v>243</v>
      </c>
      <c r="H221" s="9" t="n">
        <v>1031</v>
      </c>
      <c r="I221" s="9" t="inlineStr">
        <is>
          <t>Mid-Rotation Starter (SP2-3)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</f>
        <v/>
      </c>
      <c r="AD221" s="15">
        <f>SUMPRODUCT(M221:X221,$M$6:$X$6)</f>
        <v/>
      </c>
      <c r="AE221" s="19" t="n"/>
    </row>
    <row r="222">
      <c r="A222" s="9" t="n">
        <v>656731</v>
      </c>
      <c r="B222" s="9" t="inlineStr">
        <is>
          <t>Tylor Megill</t>
        </is>
      </c>
      <c r="C222" s="9" t="inlineStr">
        <is>
          <t>NYM</t>
        </is>
      </c>
      <c r="D222" s="9" t="n">
        <v>31</v>
      </c>
      <c r="E222" s="17" t="inlineStr">
        <is>
          <t>R</t>
        </is>
      </c>
      <c r="F222" s="17" t="n"/>
      <c r="G222" s="9" t="n">
        <v>305</v>
      </c>
      <c r="H222" s="9" t="n">
        <v>1409</v>
      </c>
      <c r="I222" s="9" t="inlineStr">
        <is>
          <t>End-of-Rotation Starter (SP4-5)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</f>
        <v/>
      </c>
      <c r="AD222" s="15">
        <f>SUMPRODUCT(M222:X222,$M$6:$X$6)</f>
        <v/>
      </c>
      <c r="AE222" s="19" t="n"/>
    </row>
    <row r="223">
      <c r="A223" s="9" t="n">
        <v>660825</v>
      </c>
      <c r="B223" s="9" t="inlineStr">
        <is>
          <t>Eduard Bazardo</t>
        </is>
      </c>
      <c r="C223" s="9" t="inlineStr">
        <is>
          <t>SEA</t>
        </is>
      </c>
      <c r="D223" s="9" t="n">
        <v>31</v>
      </c>
      <c r="E223" s="17" t="inlineStr">
        <is>
          <t>R</t>
        </is>
      </c>
      <c r="F223" s="17" t="n"/>
      <c r="G223" s="9" t="n">
        <v>129</v>
      </c>
      <c r="H223" s="9" t="n">
        <v>682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</f>
        <v/>
      </c>
      <c r="AD223" s="15">
        <f>SUMPRODUCT(M223:X223,$M$6:$X$6)</f>
        <v/>
      </c>
      <c r="AE223" s="19" t="n"/>
    </row>
    <row r="224">
      <c r="A224" s="9" t="n">
        <v>680742</v>
      </c>
      <c r="B224" s="9" t="inlineStr">
        <is>
          <t>Jonathan Bowlan</t>
        </is>
      </c>
      <c r="C224" s="9" t="inlineStr">
        <is>
          <t>PHI</t>
        </is>
      </c>
      <c r="D224" s="9" t="n">
        <v>30</v>
      </c>
      <c r="E224" s="17" t="inlineStr">
        <is>
          <t>R</t>
        </is>
      </c>
      <c r="F224" s="17" t="n"/>
      <c r="G224" s="9" t="n">
        <v>82</v>
      </c>
      <c r="H224" s="9" t="n">
        <v>293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</f>
        <v/>
      </c>
      <c r="AD224" s="15">
        <f>SUMPRODUCT(M224:X224,$M$6:$X$6)</f>
        <v/>
      </c>
      <c r="AE224" s="19" t="n"/>
    </row>
    <row r="225">
      <c r="A225" s="9" t="n">
        <v>702303</v>
      </c>
      <c r="B225" s="9" t="inlineStr">
        <is>
          <t>Riley Martin</t>
        </is>
      </c>
      <c r="C225" s="9" t="inlineStr">
        <is>
          <t>CHC</t>
        </is>
      </c>
      <c r="D225" s="9" t="n">
        <v>29</v>
      </c>
      <c r="E225" s="17" t="inlineStr">
        <is>
          <t>L</t>
        </is>
      </c>
      <c r="F225" s="17" t="n"/>
      <c r="G225" s="9" t="n">
        <v>31</v>
      </c>
      <c r="H225" s="9" t="n">
        <v>31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</f>
        <v/>
      </c>
      <c r="AD225" s="15">
        <f>SUMPRODUCT(M225:X225,$M$6:$X$6)</f>
        <v/>
      </c>
      <c r="AE225" s="19" t="n"/>
    </row>
    <row r="226">
      <c r="A226" s="9" t="n">
        <v>656629</v>
      </c>
      <c r="B226" s="9" t="inlineStr">
        <is>
          <t>Michael Kopech</t>
        </is>
      </c>
      <c r="C226" s="9" t="inlineStr">
        <is>
          <t>LAD</t>
        </is>
      </c>
      <c r="D226" s="9" t="n">
        <v>31</v>
      </c>
      <c r="E226" s="17" t="inlineStr">
        <is>
          <t>R</t>
        </is>
      </c>
      <c r="F226" s="17" t="n"/>
      <c r="G226" s="9" t="n">
        <v>53</v>
      </c>
      <c r="H226" s="9" t="n">
        <v>1417</v>
      </c>
      <c r="I226" s="9" t="inlineStr">
        <is>
          <t>Bullpen Depth Arm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</f>
        <v/>
      </c>
      <c r="AD226" s="15">
        <f>SUMPRODUCT(M226:X226,$M$6:$X$6)</f>
        <v/>
      </c>
      <c r="AE226" s="19" t="n"/>
    </row>
    <row r="227">
      <c r="A227" s="9" t="n">
        <v>605154</v>
      </c>
      <c r="B227" s="9" t="inlineStr">
        <is>
          <t>John Brebbia</t>
        </is>
      </c>
      <c r="C227" s="9" t="inlineStr">
        <is>
          <t>ATL</t>
        </is>
      </c>
      <c r="D227" s="9" t="n">
        <v>37</v>
      </c>
      <c r="E227" s="17" t="inlineStr">
        <is>
          <t>R</t>
        </is>
      </c>
      <c r="F227" s="17" t="n"/>
      <c r="G227" s="9" t="n">
        <v>115</v>
      </c>
      <c r="H227" s="9" t="n">
        <v>806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</f>
        <v/>
      </c>
      <c r="AD227" s="15">
        <f>SUMPRODUCT(M227:X227,$M$6:$X$6)</f>
        <v/>
      </c>
      <c r="AE227" s="19" t="n"/>
    </row>
    <row r="228">
      <c r="A228" s="9" t="n">
        <v>689296</v>
      </c>
      <c r="B228" s="9" t="inlineStr">
        <is>
          <t>Anthony Nunez</t>
        </is>
      </c>
      <c r="C228" s="9" t="inlineStr">
        <is>
          <t>BAL</t>
        </is>
      </c>
      <c r="D228" s="9" t="n">
        <v>25</v>
      </c>
      <c r="E228" s="17" t="inlineStr">
        <is>
          <t>R</t>
        </is>
      </c>
      <c r="F228" s="17" t="n"/>
      <c r="G228" s="9" t="n">
        <v>140</v>
      </c>
      <c r="H228" s="9" t="n">
        <v>140</v>
      </c>
      <c r="I228" s="9" t="inlineStr">
        <is>
          <t>Bullpen Depth Arm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</f>
        <v/>
      </c>
      <c r="AD228" s="15">
        <f>SUMPRODUCT(M228:X228,$M$6:$X$6)</f>
        <v/>
      </c>
      <c r="AE228" s="19" t="n"/>
    </row>
    <row r="229">
      <c r="A229" s="9" t="n">
        <v>657097</v>
      </c>
      <c r="B229" s="9" t="inlineStr">
        <is>
          <t>Jacob Webb</t>
        </is>
      </c>
      <c r="C229" s="9" t="inlineStr">
        <is>
          <t>CHC</t>
        </is>
      </c>
      <c r="D229" s="9" t="n">
        <v>33</v>
      </c>
      <c r="E229" s="17" t="inlineStr">
        <is>
          <t>R</t>
        </is>
      </c>
      <c r="F229" s="17" t="n"/>
      <c r="G229" s="9" t="n">
        <v>120</v>
      </c>
      <c r="H229" s="9" t="n">
        <v>856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</f>
        <v/>
      </c>
      <c r="AD229" s="15">
        <f>SUMPRODUCT(M229:X229,$M$6:$X$6)</f>
        <v/>
      </c>
      <c r="AE229" s="19" t="n"/>
    </row>
    <row r="230">
      <c r="A230" s="9" t="n">
        <v>697812</v>
      </c>
      <c r="B230" s="9" t="inlineStr">
        <is>
          <t>Joe Rock</t>
        </is>
      </c>
      <c r="C230" s="9" t="inlineStr">
        <is>
          <t>TB</t>
        </is>
      </c>
      <c r="D230" s="9" t="n">
        <v>26</v>
      </c>
      <c r="E230" s="17" t="inlineStr">
        <is>
          <t>L</t>
        </is>
      </c>
      <c r="F230" s="17" t="n"/>
      <c r="G230" s="9" t="n">
        <v>35</v>
      </c>
      <c r="H230" s="9" t="n">
        <v>35</v>
      </c>
      <c r="I230" s="9" t="inlineStr">
        <is>
          <t>Middle Relief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</f>
        <v/>
      </c>
      <c r="AD230" s="15">
        <f>SUMPRODUCT(M230:X230,$M$6:$X$6)</f>
        <v/>
      </c>
      <c r="AE230" s="19" t="n"/>
    </row>
    <row r="231">
      <c r="A231" s="9" t="n">
        <v>669854</v>
      </c>
      <c r="B231" s="9" t="inlineStr">
        <is>
          <t>Ronel Blanco</t>
        </is>
      </c>
      <c r="C231" s="9" t="inlineStr">
        <is>
          <t>HOU</t>
        </is>
      </c>
      <c r="D231" s="9" t="n">
        <v>33</v>
      </c>
      <c r="E231" s="17" t="inlineStr">
        <is>
          <t>R</t>
        </is>
      </c>
      <c r="F231" s="17" t="n"/>
      <c r="G231" s="9" t="n">
        <v>199</v>
      </c>
      <c r="H231" s="9" t="n">
        <v>1133</v>
      </c>
      <c r="I231" s="9" t="inlineStr">
        <is>
          <t>Mid-Rotation Starter (SP2-3)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</f>
        <v/>
      </c>
      <c r="AD231" s="15">
        <f>SUMPRODUCT(M231:X231,$M$6:$X$6)</f>
        <v/>
      </c>
      <c r="AE231" s="19" t="n"/>
    </row>
    <row r="232">
      <c r="A232" s="9" t="n">
        <v>669622</v>
      </c>
      <c r="B232" s="9" t="inlineStr">
        <is>
          <t>Anthony Bender</t>
        </is>
      </c>
      <c r="C232" s="9" t="inlineStr">
        <is>
          <t>MIA</t>
        </is>
      </c>
      <c r="D232" s="9" t="n">
        <v>32</v>
      </c>
      <c r="E232" s="17" t="inlineStr">
        <is>
          <t>R</t>
        </is>
      </c>
      <c r="F232" s="17" t="n"/>
      <c r="G232" s="9" t="n">
        <v>108</v>
      </c>
      <c r="H232" s="9" t="n">
        <v>618</v>
      </c>
      <c r="I232" s="9" t="inlineStr">
        <is>
          <t>Closer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</f>
        <v/>
      </c>
      <c r="AD232" s="15">
        <f>SUMPRODUCT(M232:X232,$M$6:$X$6)</f>
        <v/>
      </c>
      <c r="AE232" s="19" t="n"/>
    </row>
    <row r="233">
      <c r="A233" s="9" t="n">
        <v>661403</v>
      </c>
      <c r="B233" s="9" t="inlineStr">
        <is>
          <t>Emmanuel Clase</t>
        </is>
      </c>
      <c r="C233" s="9" t="inlineStr">
        <is>
          <t>CLE</t>
        </is>
      </c>
      <c r="D233" s="9" t="n">
        <v>29</v>
      </c>
      <c r="E233" s="17" t="inlineStr">
        <is>
          <t>R</t>
        </is>
      </c>
      <c r="F233" s="17" t="n"/>
      <c r="G233" s="9" t="n">
        <v>201</v>
      </c>
      <c r="H233" s="9" t="n">
        <v>1044</v>
      </c>
      <c r="I233" s="9" t="inlineStr">
        <is>
          <t>Late Inning RP (Setup)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</f>
        <v/>
      </c>
      <c r="AD233" s="15">
        <f>SUMPRODUCT(M233:X233,$M$6:$X$6)</f>
        <v/>
      </c>
      <c r="AE233" s="19" t="n"/>
    </row>
    <row r="234">
      <c r="A234" s="9" t="n">
        <v>683618</v>
      </c>
      <c r="B234" s="9" t="inlineStr">
        <is>
          <t>Edgardo Henriquez</t>
        </is>
      </c>
      <c r="C234" s="9" t="inlineStr">
        <is>
          <t>LAD</t>
        </is>
      </c>
      <c r="D234" s="9" t="n">
        <v>25</v>
      </c>
      <c r="E234" s="17" t="inlineStr">
        <is>
          <t>R</t>
        </is>
      </c>
      <c r="F234" s="17" t="n"/>
      <c r="G234" s="9" t="n">
        <v>99</v>
      </c>
      <c r="H234" s="9" t="n">
        <v>191</v>
      </c>
      <c r="I234" s="9" t="inlineStr">
        <is>
          <t>Bullpen Depth Arm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</f>
        <v/>
      </c>
      <c r="AD234" s="15">
        <f>SUMPRODUCT(M234:X234,$M$6:$X$6)</f>
        <v/>
      </c>
      <c r="AE234" s="19" t="n"/>
    </row>
    <row r="235">
      <c r="A235" s="9" t="n">
        <v>660853</v>
      </c>
      <c r="B235" s="9" t="inlineStr">
        <is>
          <t>Enyel De Los Santos</t>
        </is>
      </c>
      <c r="C235" s="9" t="inlineStr">
        <is>
          <t>HOU</t>
        </is>
      </c>
      <c r="D235" s="9" t="n">
        <v>31</v>
      </c>
      <c r="E235" s="17" t="inlineStr">
        <is>
          <t>R</t>
        </is>
      </c>
      <c r="F235" s="17" t="n"/>
      <c r="G235" s="9" t="n">
        <v>112</v>
      </c>
      <c r="H235" s="9" t="n">
        <v>1147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</f>
        <v/>
      </c>
      <c r="AD235" s="15">
        <f>SUMPRODUCT(M235:X235,$M$6:$X$6)</f>
        <v/>
      </c>
      <c r="AE235" s="19" t="n"/>
    </row>
    <row r="236">
      <c r="A236" s="9" t="n">
        <v>676206</v>
      </c>
      <c r="B236" s="9" t="inlineStr">
        <is>
          <t>Freddy Tarnok</t>
        </is>
      </c>
      <c r="C236" s="9" t="inlineStr">
        <is>
          <t>MIA</t>
        </is>
      </c>
      <c r="D236" s="9" t="n">
        <v>28</v>
      </c>
      <c r="E236" s="17" t="inlineStr">
        <is>
          <t>R</t>
        </is>
      </c>
      <c r="F236" s="17" t="n"/>
      <c r="G236" s="9" t="n">
        <v>28</v>
      </c>
      <c r="H236" s="9" t="n">
        <v>96</v>
      </c>
      <c r="I236" s="9" t="inlineStr">
        <is>
          <t>Middle Relief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</f>
        <v/>
      </c>
      <c r="AD236" s="15">
        <f>SUMPRODUCT(M236:X236,$M$6:$X$6)</f>
        <v/>
      </c>
      <c r="AE236" s="19" t="n"/>
    </row>
    <row r="237">
      <c r="A237" s="9" t="n">
        <v>672391</v>
      </c>
      <c r="B237" s="9" t="inlineStr">
        <is>
          <t>Kaleb Ort</t>
        </is>
      </c>
      <c r="C237" s="9" t="inlineStr">
        <is>
          <t>HOU</t>
        </is>
      </c>
      <c r="D237" s="9" t="n">
        <v>35</v>
      </c>
      <c r="E237" s="17" t="inlineStr">
        <is>
          <t>R</t>
        </is>
      </c>
      <c r="F237" s="17" t="n"/>
      <c r="G237" s="9" t="n">
        <v>194</v>
      </c>
      <c r="H237" s="9" t="n">
        <v>528</v>
      </c>
      <c r="I237" s="9" t="inlineStr">
        <is>
          <t>Middle Relief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</f>
        <v/>
      </c>
      <c r="AD237" s="15">
        <f>SUMPRODUCT(M237:X237,$M$6:$X$6)</f>
        <v/>
      </c>
      <c r="AE237" s="19" t="n"/>
    </row>
    <row r="238">
      <c r="A238" s="9" t="n">
        <v>687606</v>
      </c>
      <c r="B238" s="9" t="inlineStr">
        <is>
          <t>Paxton Schultz</t>
        </is>
      </c>
      <c r="C238" s="9" t="inlineStr">
        <is>
          <t>WSH</t>
        </is>
      </c>
      <c r="D238" s="9" t="n">
        <v>29</v>
      </c>
      <c r="E238" s="17" t="inlineStr">
        <is>
          <t>R</t>
        </is>
      </c>
      <c r="F238" s="17" t="n"/>
      <c r="G238" s="9" t="n">
        <v>108</v>
      </c>
      <c r="H238" s="9" t="n">
        <v>218</v>
      </c>
      <c r="I238" s="9" t="inlineStr">
        <is>
          <t>Closer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</f>
        <v/>
      </c>
      <c r="AD238" s="15">
        <f>SUMPRODUCT(M238:X238,$M$6:$X$6)</f>
        <v/>
      </c>
      <c r="AE238" s="19" t="n"/>
    </row>
    <row r="239">
      <c r="A239" s="9" t="n">
        <v>682120</v>
      </c>
      <c r="B239" s="9" t="inlineStr">
        <is>
          <t>Tim Herrin</t>
        </is>
      </c>
      <c r="C239" s="9" t="inlineStr">
        <is>
          <t>CLE</t>
        </is>
      </c>
      <c r="D239" s="9" t="n">
        <v>30</v>
      </c>
      <c r="E239" s="17" t="inlineStr">
        <is>
          <t>L</t>
        </is>
      </c>
      <c r="F239" s="17" t="n"/>
      <c r="G239" s="9" t="n">
        <v>107</v>
      </c>
      <c r="H239" s="9" t="n">
        <v>679</v>
      </c>
      <c r="I239" s="9" t="inlineStr">
        <is>
          <t>Bullpen Depth Arm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</f>
        <v/>
      </c>
      <c r="AD239" s="15">
        <f>SUMPRODUCT(M239:X239,$M$6:$X$6)</f>
        <v/>
      </c>
      <c r="AE239" s="19" t="n"/>
    </row>
    <row r="240">
      <c r="A240" s="9" t="n">
        <v>647336</v>
      </c>
      <c r="B240" s="9" t="inlineStr">
        <is>
          <t>Michael Soroka</t>
        </is>
      </c>
      <c r="C240" s="9" t="inlineStr">
        <is>
          <t>ARI</t>
        </is>
      </c>
      <c r="D240" s="9" t="n">
        <v>29</v>
      </c>
      <c r="E240" s="17" t="inlineStr">
        <is>
          <t>R</t>
        </is>
      </c>
      <c r="F240" s="17" t="n"/>
      <c r="G240" s="9" t="n">
        <v>306</v>
      </c>
      <c r="H240" s="9" t="n">
        <v>1177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</f>
        <v/>
      </c>
      <c r="AD240" s="15">
        <f>SUMPRODUCT(M240:X240,$M$6:$X$6)</f>
        <v/>
      </c>
      <c r="AE240" s="19" t="n"/>
    </row>
    <row r="241">
      <c r="A241" s="9" t="n">
        <v>678226</v>
      </c>
      <c r="B241" s="9" t="inlineStr">
        <is>
          <t>Daysbel Hernández</t>
        </is>
      </c>
      <c r="C241" s="9" t="inlineStr">
        <is>
          <t>ATL</t>
        </is>
      </c>
      <c r="D241" s="9" t="n">
        <v>30</v>
      </c>
      <c r="E241" s="17" t="inlineStr">
        <is>
          <t>R</t>
        </is>
      </c>
      <c r="F241" s="17" t="n"/>
      <c r="G241" s="9" t="n">
        <v>164</v>
      </c>
      <c r="H241" s="9" t="n">
        <v>258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</f>
        <v/>
      </c>
      <c r="AD241" s="15">
        <f>SUMPRODUCT(M241:X241,$M$6:$X$6)</f>
        <v/>
      </c>
      <c r="AE241" s="19" t="n"/>
    </row>
    <row r="242">
      <c r="A242" s="9" t="n">
        <v>543135</v>
      </c>
      <c r="B242" s="9" t="inlineStr">
        <is>
          <t>Nathan Eovaldi</t>
        </is>
      </c>
      <c r="C242" s="9" t="inlineStr">
        <is>
          <t>TEX</t>
        </is>
      </c>
      <c r="D242" s="9" t="n">
        <v>37</v>
      </c>
      <c r="E242" s="17" t="inlineStr">
        <is>
          <t>R</t>
        </is>
      </c>
      <c r="F242" s="17" t="n"/>
      <c r="G242" s="9" t="n">
        <v>337</v>
      </c>
      <c r="H242" s="9" t="n">
        <v>2566</v>
      </c>
      <c r="I242" s="9" t="inlineStr">
        <is>
          <t>Ace (SP1)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</f>
        <v/>
      </c>
      <c r="AD242" s="15">
        <f>SUMPRODUCT(M242:X242,$M$6:$X$6)</f>
        <v/>
      </c>
      <c r="AE242" s="19" t="n"/>
    </row>
    <row r="243">
      <c r="A243" s="9" t="n">
        <v>681217</v>
      </c>
      <c r="B243" s="9" t="inlineStr">
        <is>
          <t>Chase Silseth</t>
        </is>
      </c>
      <c r="C243" s="9" t="inlineStr">
        <is>
          <t>LAA</t>
        </is>
      </c>
      <c r="D243" s="9" t="n">
        <v>27</v>
      </c>
      <c r="E243" s="17" t="inlineStr">
        <is>
          <t>R</t>
        </is>
      </c>
      <c r="F243" s="17" t="n"/>
      <c r="G243" s="9" t="n">
        <v>99</v>
      </c>
      <c r="H243" s="9" t="n">
        <v>536</v>
      </c>
      <c r="I243" s="9" t="inlineStr">
        <is>
          <t>Middle Relief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</f>
        <v/>
      </c>
      <c r="AD243" s="15">
        <f>SUMPRODUCT(M243:X243,$M$6:$X$6)</f>
        <v/>
      </c>
      <c r="AE243" s="19" t="n"/>
    </row>
    <row r="244">
      <c r="A244" s="9" t="n">
        <v>663542</v>
      </c>
      <c r="B244" s="9" t="inlineStr">
        <is>
          <t>Bryan Hudson</t>
        </is>
      </c>
      <c r="C244" s="9" t="inlineStr">
        <is>
          <t>CWS</t>
        </is>
      </c>
      <c r="D244" s="9" t="n">
        <v>30</v>
      </c>
      <c r="E244" s="17" t="inlineStr">
        <is>
          <t>L</t>
        </is>
      </c>
      <c r="F244" s="17" t="n"/>
      <c r="G244" s="9" t="n">
        <v>129</v>
      </c>
      <c r="H244" s="9" t="n">
        <v>479</v>
      </c>
      <c r="I244" s="9" t="inlineStr">
        <is>
          <t>Late Inning RP (Setup)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</f>
        <v/>
      </c>
      <c r="AD244" s="15">
        <f>SUMPRODUCT(M244:X244,$M$6:$X$6)</f>
        <v/>
      </c>
      <c r="AE244" s="19" t="n"/>
    </row>
    <row r="245">
      <c r="A245" s="9" t="n">
        <v>676534</v>
      </c>
      <c r="B245" s="9" t="inlineStr">
        <is>
          <t>Calvin Faucher</t>
        </is>
      </c>
      <c r="C245" s="9" t="inlineStr">
        <is>
          <t>MIA</t>
        </is>
      </c>
      <c r="D245" s="9" t="n">
        <v>31</v>
      </c>
      <c r="E245" s="17" t="inlineStr">
        <is>
          <t>R</t>
        </is>
      </c>
      <c r="F245" s="17" t="n"/>
      <c r="G245" s="9" t="n">
        <v>123</v>
      </c>
      <c r="H245" s="9" t="n">
        <v>834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</f>
        <v/>
      </c>
      <c r="AD245" s="15">
        <f>SUMPRODUCT(M245:X245,$M$6:$X$6)</f>
        <v/>
      </c>
      <c r="AE245" s="19" t="n"/>
    </row>
    <row r="246">
      <c r="A246" s="9" t="n">
        <v>805673</v>
      </c>
      <c r="B246" s="9" t="inlineStr">
        <is>
          <t>Zebby Matthews</t>
        </is>
      </c>
      <c r="C246" s="9" t="inlineStr">
        <is>
          <t>MIN</t>
        </is>
      </c>
      <c r="D246" s="9" t="n">
        <v>27</v>
      </c>
      <c r="E246" s="17" t="inlineStr">
        <is>
          <t>R</t>
        </is>
      </c>
      <c r="F246" s="17" t="n"/>
      <c r="G246" s="9" t="n">
        <v>122</v>
      </c>
      <c r="H246" s="9" t="n">
        <v>653</v>
      </c>
      <c r="I246" s="9" t="inlineStr">
        <is>
          <t>Mid-Rotation Starter (SP2-3)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</f>
        <v/>
      </c>
      <c r="AD246" s="15">
        <f>SUMPRODUCT(M246:X246,$M$6:$X$6)</f>
        <v/>
      </c>
      <c r="AE246" s="19" t="n"/>
    </row>
    <row r="247">
      <c r="A247" s="9" t="n">
        <v>657571</v>
      </c>
      <c r="B247" s="9" t="inlineStr">
        <is>
          <t>Caleb Ferguson</t>
        </is>
      </c>
      <c r="C247" s="9" t="inlineStr">
        <is>
          <t>CIN</t>
        </is>
      </c>
      <c r="D247" s="9" t="n">
        <v>30</v>
      </c>
      <c r="E247" s="17" t="inlineStr">
        <is>
          <t>L</t>
        </is>
      </c>
      <c r="F247" s="17" t="n"/>
      <c r="G247" s="9" t="n">
        <v>30</v>
      </c>
      <c r="H247" s="9" t="n">
        <v>961</v>
      </c>
      <c r="I247" s="9" t="inlineStr">
        <is>
          <t>Closer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</f>
        <v/>
      </c>
      <c r="AD247" s="15">
        <f>SUMPRODUCT(M247:X247,$M$6:$X$6)</f>
        <v/>
      </c>
      <c r="AE247" s="19" t="n"/>
    </row>
    <row r="248">
      <c r="A248" s="9" t="n">
        <v>682825</v>
      </c>
      <c r="B248" s="9" t="inlineStr">
        <is>
          <t>Luis Mey</t>
        </is>
      </c>
      <c r="C248" s="9" t="inlineStr">
        <is>
          <t>CIN</t>
        </is>
      </c>
      <c r="D248" s="9" t="n">
        <v>26</v>
      </c>
      <c r="E248" s="17" t="inlineStr">
        <is>
          <t>R</t>
        </is>
      </c>
      <c r="F248" s="17" t="n"/>
      <c r="G248" s="9" t="n">
        <v>46</v>
      </c>
      <c r="H248" s="9" t="n">
        <v>142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</f>
        <v/>
      </c>
      <c r="AD248" s="15">
        <f>SUMPRODUCT(M248:X248,$M$6:$X$6)</f>
        <v/>
      </c>
      <c r="AE248" s="19" t="n"/>
    </row>
    <row r="249">
      <c r="A249" s="9" t="n">
        <v>621363</v>
      </c>
      <c r="B249" s="9" t="inlineStr">
        <is>
          <t>Colin Poche</t>
        </is>
      </c>
      <c r="C249" s="9" t="inlineStr">
        <is>
          <t>NYM</t>
        </is>
      </c>
      <c r="D249" s="9" t="n">
        <v>33</v>
      </c>
      <c r="E249" s="17" t="inlineStr">
        <is>
          <t>L</t>
        </is>
      </c>
      <c r="F249" s="17" t="n"/>
      <c r="G249" s="9" t="n">
        <v>52</v>
      </c>
      <c r="H249" s="9" t="n">
        <v>696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</f>
        <v/>
      </c>
      <c r="AD249" s="15">
        <f>SUMPRODUCT(M249:X249,$M$6:$X$6)</f>
        <v/>
      </c>
      <c r="AE249" s="19" t="n"/>
    </row>
    <row r="250">
      <c r="A250" s="9" t="n">
        <v>641482</v>
      </c>
      <c r="B250" s="9" t="inlineStr">
        <is>
          <t>Nestor Cortes</t>
        </is>
      </c>
      <c r="C250" s="9" t="inlineStr">
        <is>
          <t>SD</t>
        </is>
      </c>
      <c r="D250" s="9" t="n">
        <v>32</v>
      </c>
      <c r="E250" s="17" t="inlineStr">
        <is>
          <t>L</t>
        </is>
      </c>
      <c r="F250" s="17" t="n"/>
      <c r="G250" s="9" t="n">
        <v>157</v>
      </c>
      <c r="H250" s="9" t="n">
        <v>1748</v>
      </c>
      <c r="I250" s="9" t="inlineStr">
        <is>
          <t>Mid-Rotation Starter (SP2-3)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</f>
        <v/>
      </c>
      <c r="AD250" s="15">
        <f>SUMPRODUCT(M250:X250,$M$6:$X$6)</f>
        <v/>
      </c>
      <c r="AE250" s="19" t="n"/>
    </row>
    <row r="251">
      <c r="A251" s="9" t="n">
        <v>621121</v>
      </c>
      <c r="B251" s="9" t="inlineStr">
        <is>
          <t>Lance McCullers Jr.</t>
        </is>
      </c>
      <c r="C251" s="9" t="inlineStr">
        <is>
          <t>HOU</t>
        </is>
      </c>
      <c r="D251" s="9" t="n">
        <v>33</v>
      </c>
      <c r="E251" s="17" t="inlineStr">
        <is>
          <t>R</t>
        </is>
      </c>
      <c r="F251" s="17" t="n"/>
      <c r="G251" s="9" t="n">
        <v>172</v>
      </c>
      <c r="H251" s="9" t="n">
        <v>641</v>
      </c>
      <c r="I251" s="9" t="inlineStr">
        <is>
          <t>End-of-Rotation Starter (SP4-5)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</f>
        <v/>
      </c>
      <c r="AD251" s="15">
        <f>SUMPRODUCT(M251:X251,$M$6:$X$6)</f>
        <v/>
      </c>
      <c r="AE251" s="19" t="n"/>
    </row>
    <row r="252">
      <c r="A252" s="9" t="n">
        <v>669456</v>
      </c>
      <c r="B252" s="9" t="inlineStr">
        <is>
          <t>Shane Bieber</t>
        </is>
      </c>
      <c r="C252" s="9" t="inlineStr">
        <is>
          <t>TOR</t>
        </is>
      </c>
      <c r="D252" s="9" t="n">
        <v>32</v>
      </c>
      <c r="E252" s="17" t="inlineStr">
        <is>
          <t>R</t>
        </is>
      </c>
      <c r="F252" s="17" t="n"/>
      <c r="G252" s="9" t="n">
        <v>159</v>
      </c>
      <c r="H252" s="9" t="n">
        <v>1528</v>
      </c>
      <c r="I252" s="9" t="inlineStr">
        <is>
          <t>Ace (SP1)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</f>
        <v/>
      </c>
      <c r="AD252" s="15">
        <f>SUMPRODUCT(M252:X252,$M$6:$X$6)</f>
        <v/>
      </c>
      <c r="AE252" s="19" t="n"/>
    </row>
    <row r="253">
      <c r="A253" s="9" t="n">
        <v>683232</v>
      </c>
      <c r="B253" s="9" t="inlineStr">
        <is>
          <t>Nick Mears</t>
        </is>
      </c>
      <c r="C253" s="9" t="inlineStr">
        <is>
          <t>KC</t>
        </is>
      </c>
      <c r="D253" s="9" t="n">
        <v>30</v>
      </c>
      <c r="E253" s="17" t="inlineStr">
        <is>
          <t>R</t>
        </is>
      </c>
      <c r="F253" s="17" t="n"/>
      <c r="G253" s="9" t="n">
        <v>83</v>
      </c>
      <c r="H253" s="9" t="n">
        <v>655</v>
      </c>
      <c r="I253" s="9" t="inlineStr">
        <is>
          <t>Middle Relief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</f>
        <v/>
      </c>
      <c r="AD253" s="15">
        <f>SUMPRODUCT(M253:X253,$M$6:$X$6)</f>
        <v/>
      </c>
      <c r="AE253" s="19" t="n"/>
    </row>
    <row r="254">
      <c r="A254" s="9" t="n">
        <v>676974</v>
      </c>
      <c r="B254" s="9" t="inlineStr">
        <is>
          <t>Max Meyer</t>
        </is>
      </c>
      <c r="C254" s="9" t="inlineStr">
        <is>
          <t>MIA</t>
        </is>
      </c>
      <c r="D254" s="9" t="n">
        <v>28</v>
      </c>
      <c r="E254" s="17" t="inlineStr">
        <is>
          <t>R</t>
        </is>
      </c>
      <c r="F254" s="17" t="n"/>
      <c r="G254" s="9" t="n">
        <v>325</v>
      </c>
      <c r="H254" s="9" t="n">
        <v>884</v>
      </c>
      <c r="I254" s="9" t="inlineStr">
        <is>
          <t>Mid-Rotation Starter (SP2-3)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</f>
        <v/>
      </c>
      <c r="AD254" s="15">
        <f>SUMPRODUCT(M254:X254,$M$6:$X$6)</f>
        <v/>
      </c>
      <c r="AE254" s="19" t="n"/>
    </row>
    <row r="255">
      <c r="A255" s="9" t="n">
        <v>686580</v>
      </c>
      <c r="B255" s="9" t="inlineStr">
        <is>
          <t>Justin Slaten</t>
        </is>
      </c>
      <c r="C255" s="9" t="inlineStr">
        <is>
          <t>BOS</t>
        </is>
      </c>
      <c r="D255" s="9" t="n">
        <v>29</v>
      </c>
      <c r="E255" s="17" t="inlineStr">
        <is>
          <t>R</t>
        </is>
      </c>
      <c r="F255" s="17" t="n"/>
      <c r="G255" s="9" t="n">
        <v>52</v>
      </c>
      <c r="H255" s="9" t="n">
        <v>413</v>
      </c>
      <c r="I255" s="9" t="inlineStr">
        <is>
          <t>Bullpen Depth Arm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</f>
        <v/>
      </c>
      <c r="AD255" s="15">
        <f>SUMPRODUCT(M255:X255,$M$6:$X$6)</f>
        <v/>
      </c>
      <c r="AE255" s="19" t="n"/>
    </row>
    <row r="256">
      <c r="A256" s="9" t="n">
        <v>571510</v>
      </c>
      <c r="B256" s="9" t="inlineStr">
        <is>
          <t>Matthew Boyd</t>
        </is>
      </c>
      <c r="C256" s="9" t="inlineStr">
        <is>
          <t>CHC</t>
        </is>
      </c>
      <c r="D256" s="9" t="n">
        <v>36</v>
      </c>
      <c r="E256" s="17" t="inlineStr">
        <is>
          <t>L</t>
        </is>
      </c>
      <c r="F256" s="17" t="n"/>
      <c r="G256" s="9" t="n">
        <v>100</v>
      </c>
      <c r="H256" s="9" t="n">
        <v>1340</v>
      </c>
      <c r="I256" s="9" t="inlineStr">
        <is>
          <t>Mid-Rotation Starter (SP2-3)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</f>
        <v/>
      </c>
      <c r="AD256" s="15">
        <f>SUMPRODUCT(M256:X256,$M$6:$X$6)</f>
        <v/>
      </c>
      <c r="AE256" s="19" t="n"/>
    </row>
    <row r="257">
      <c r="A257" s="9" t="n">
        <v>592254</v>
      </c>
      <c r="B257" s="9" t="inlineStr">
        <is>
          <t>José De León</t>
        </is>
      </c>
      <c r="C257" s="9" t="inlineStr">
        <is>
          <t>BOS</t>
        </is>
      </c>
      <c r="D257" s="9" t="n">
        <v>34</v>
      </c>
      <c r="E257" s="17" t="inlineStr">
        <is>
          <t>R</t>
        </is>
      </c>
      <c r="F257" s="17" t="n"/>
      <c r="G257" s="9" t="n">
        <v>28</v>
      </c>
      <c r="H257" s="9" t="n">
        <v>98</v>
      </c>
      <c r="I257" s="9" t="inlineStr">
        <is>
          <t>Ace (SP1)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</f>
        <v/>
      </c>
      <c r="AD257" s="15">
        <f>SUMPRODUCT(M257:X257,$M$6:$X$6)</f>
        <v/>
      </c>
      <c r="AE257" s="19" t="n"/>
    </row>
    <row r="258">
      <c r="A258" s="9" t="n">
        <v>663485</v>
      </c>
      <c r="B258" s="9" t="inlineStr">
        <is>
          <t>Cole Sands</t>
        </is>
      </c>
      <c r="C258" s="9" t="inlineStr">
        <is>
          <t>MIN</t>
        </is>
      </c>
      <c r="D258" s="9" t="n">
        <v>29</v>
      </c>
      <c r="E258" s="17" t="inlineStr">
        <is>
          <t>R</t>
        </is>
      </c>
      <c r="F258" s="17" t="n"/>
      <c r="G258" s="9" t="n">
        <v>50</v>
      </c>
      <c r="H258" s="9" t="n">
        <v>884</v>
      </c>
      <c r="I258" s="9" t="inlineStr">
        <is>
          <t>Bullpen Depth Arm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</f>
        <v/>
      </c>
      <c r="AD258" s="15">
        <f>SUMPRODUCT(M258:X258,$M$6:$X$6)</f>
        <v/>
      </c>
      <c r="AE258" s="19" t="n"/>
    </row>
    <row r="259">
      <c r="A259" s="9" t="n">
        <v>660896</v>
      </c>
      <c r="B259" s="9" t="inlineStr">
        <is>
          <t>Jorge Alcala</t>
        </is>
      </c>
      <c r="C259" s="9" t="inlineStr">
        <is>
          <t>STL</t>
        </is>
      </c>
      <c r="D259" s="9" t="n">
        <v>31</v>
      </c>
      <c r="E259" s="17" t="inlineStr">
        <is>
          <t>R</t>
        </is>
      </c>
      <c r="F259" s="17" t="n"/>
      <c r="G259" s="9" t="n">
        <v>257</v>
      </c>
      <c r="H259" s="9" t="n">
        <v>577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</f>
        <v/>
      </c>
      <c r="AD259" s="15">
        <f>SUMPRODUCT(M259:X259,$M$6:$X$6)</f>
        <v/>
      </c>
      <c r="AE259" s="19" t="n"/>
    </row>
    <row r="260">
      <c r="A260" s="9" t="n">
        <v>800311</v>
      </c>
      <c r="B260" s="9" t="inlineStr">
        <is>
          <t>Didier Fuentes</t>
        </is>
      </c>
      <c r="C260" s="9" t="inlineStr">
        <is>
          <t>ATL</t>
        </is>
      </c>
      <c r="D260" s="9" t="n">
        <v>22</v>
      </c>
      <c r="E260" s="17" t="inlineStr">
        <is>
          <t>R</t>
        </is>
      </c>
      <c r="F260" s="17" t="n"/>
      <c r="G260" s="9" t="n">
        <v>107</v>
      </c>
      <c r="H260" s="9" t="n">
        <v>176</v>
      </c>
      <c r="I260" s="9" t="inlineStr">
        <is>
          <t>Middle Relief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</f>
        <v/>
      </c>
      <c r="AD260" s="15">
        <f>SUMPRODUCT(M260:X260,$M$6:$X$6)</f>
        <v/>
      </c>
      <c r="AE260" s="19" t="n"/>
    </row>
    <row r="261">
      <c r="A261" s="9" t="n">
        <v>656550</v>
      </c>
      <c r="B261" s="9" t="inlineStr">
        <is>
          <t>Grant Holmes</t>
        </is>
      </c>
      <c r="C261" s="9" t="inlineStr">
        <is>
          <t>ATL</t>
        </is>
      </c>
      <c r="D261" s="9" t="n">
        <v>31</v>
      </c>
      <c r="E261" s="17" t="inlineStr">
        <is>
          <t>R</t>
        </is>
      </c>
      <c r="F261" s="17" t="n"/>
      <c r="G261" s="9" t="n">
        <v>287</v>
      </c>
      <c r="H261" s="9" t="n">
        <v>1061</v>
      </c>
      <c r="I261" s="9" t="inlineStr">
        <is>
          <t>End-of-Rotation Starter (SP4-5)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</f>
        <v/>
      </c>
      <c r="AD261" s="15">
        <f>SUMPRODUCT(M261:X261,$M$6:$X$6)</f>
        <v/>
      </c>
      <c r="AE261" s="19" t="n"/>
    </row>
    <row r="262">
      <c r="A262" s="9" t="n">
        <v>663474</v>
      </c>
      <c r="B262" s="9" t="inlineStr">
        <is>
          <t>Triston McKenzie</t>
        </is>
      </c>
      <c r="C262" s="9" t="inlineStr">
        <is>
          <t>CLE</t>
        </is>
      </c>
      <c r="D262" s="9" t="n">
        <v>29</v>
      </c>
      <c r="E262" s="17" t="inlineStr">
        <is>
          <t>R</t>
        </is>
      </c>
      <c r="F262" s="17" t="n"/>
      <c r="G262" s="9" t="n">
        <v>30</v>
      </c>
      <c r="H262" s="9" t="n">
        <v>1184</v>
      </c>
      <c r="I262" s="9" t="inlineStr">
        <is>
          <t>End-of-Rotation Starter (SP4-5)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</f>
        <v/>
      </c>
      <c r="AD262" s="15">
        <f>SUMPRODUCT(M262:X262,$M$6:$X$6)</f>
        <v/>
      </c>
      <c r="AE262" s="19" t="n"/>
    </row>
    <row r="263">
      <c r="A263" s="9" t="n">
        <v>696062</v>
      </c>
      <c r="B263" s="9" t="inlineStr">
        <is>
          <t>Wilber Dotel</t>
        </is>
      </c>
      <c r="C263" s="9" t="inlineStr">
        <is>
          <t>PIT</t>
        </is>
      </c>
      <c r="D263" s="9" t="n">
        <v>24</v>
      </c>
      <c r="E263" s="17" t="inlineStr">
        <is>
          <t>R</t>
        </is>
      </c>
      <c r="F263" s="17" t="n"/>
      <c r="G263" s="9" t="n">
        <v>67</v>
      </c>
      <c r="H263" s="9" t="n">
        <v>67</v>
      </c>
      <c r="I263" s="9" t="inlineStr">
        <is>
          <t>Bullpen Depth Arm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</f>
        <v/>
      </c>
      <c r="AD263" s="15">
        <f>SUMPRODUCT(M263:X263,$M$6:$X$6)</f>
        <v/>
      </c>
      <c r="AE263" s="19" t="n"/>
    </row>
    <row r="264">
      <c r="A264" s="9" t="n">
        <v>668674</v>
      </c>
      <c r="B264" s="9" t="inlineStr">
        <is>
          <t>Lucas Erceg</t>
        </is>
      </c>
      <c r="C264" s="9" t="inlineStr">
        <is>
          <t>KC</t>
        </is>
      </c>
      <c r="D264" s="9" t="n">
        <v>32</v>
      </c>
      <c r="E264" s="17" t="inlineStr">
        <is>
          <t>R</t>
        </is>
      </c>
      <c r="F264" s="17" t="n"/>
      <c r="G264" s="9" t="n">
        <v>112</v>
      </c>
      <c r="H264" s="9" t="n">
        <v>865</v>
      </c>
      <c r="I264" s="9" t="inlineStr">
        <is>
          <t>Middle Relief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</f>
        <v/>
      </c>
      <c r="AD264" s="15">
        <f>SUMPRODUCT(M264:X264,$M$6:$X$6)</f>
        <v/>
      </c>
      <c r="AE264" s="19" t="n"/>
    </row>
    <row r="265">
      <c r="A265" s="9" t="n">
        <v>687911</v>
      </c>
      <c r="B265" s="9" t="inlineStr">
        <is>
          <t>Bryan King</t>
        </is>
      </c>
      <c r="C265" s="9" t="inlineStr">
        <is>
          <t>HOU</t>
        </is>
      </c>
      <c r="D265" s="9" t="n">
        <v>30</v>
      </c>
      <c r="E265" s="17" t="inlineStr">
        <is>
          <t>L</t>
        </is>
      </c>
      <c r="F265" s="17" t="n"/>
      <c r="G265" s="9" t="n">
        <v>122</v>
      </c>
      <c r="H265" s="9" t="n">
        <v>506</v>
      </c>
      <c r="I265" s="9" t="inlineStr">
        <is>
          <t>Closer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</f>
        <v/>
      </c>
      <c r="AD265" s="15">
        <f>SUMPRODUCT(M265:X265,$M$6:$X$6)</f>
        <v/>
      </c>
      <c r="AE265" s="19" t="n"/>
    </row>
    <row r="266">
      <c r="A266" s="9" t="n">
        <v>656876</v>
      </c>
      <c r="B266" s="9" t="inlineStr">
        <is>
          <t>Drew Rasmussen</t>
        </is>
      </c>
      <c r="C266" s="9" t="inlineStr">
        <is>
          <t>TB</t>
        </is>
      </c>
      <c r="D266" s="9" t="n">
        <v>31</v>
      </c>
      <c r="E266" s="17" t="inlineStr">
        <is>
          <t>R</t>
        </is>
      </c>
      <c r="F266" s="17" t="n"/>
      <c r="G266" s="9" t="n">
        <v>261</v>
      </c>
      <c r="H266" s="9" t="n">
        <v>1723</v>
      </c>
      <c r="I266" s="9" t="inlineStr">
        <is>
          <t>End-of-Rotation Starter (SP4-5)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</f>
        <v/>
      </c>
      <c r="AD266" s="15">
        <f>SUMPRODUCT(M266:X266,$M$6:$X$6)</f>
        <v/>
      </c>
      <c r="AE266" s="19" t="n"/>
    </row>
    <row r="267">
      <c r="A267" s="9" t="n">
        <v>608371</v>
      </c>
      <c r="B267" s="9" t="inlineStr">
        <is>
          <t>Lucas Sims</t>
        </is>
      </c>
      <c r="C267" s="9" t="inlineStr">
        <is>
          <t>CWS</t>
        </is>
      </c>
      <c r="D267" s="9" t="n">
        <v>33</v>
      </c>
      <c r="E267" s="17" t="inlineStr">
        <is>
          <t>R</t>
        </is>
      </c>
      <c r="F267" s="17" t="n"/>
      <c r="G267" s="9" t="n">
        <v>46</v>
      </c>
      <c r="H267" s="9" t="n">
        <v>622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</f>
        <v/>
      </c>
      <c r="AD267" s="15">
        <f>SUMPRODUCT(M267:X267,$M$6:$X$6)</f>
        <v/>
      </c>
      <c r="AE267" s="19" t="n"/>
    </row>
    <row r="268">
      <c r="A268" s="9" t="n">
        <v>676617</v>
      </c>
      <c r="B268" s="9" t="inlineStr">
        <is>
          <t>Riley O'Brien</t>
        </is>
      </c>
      <c r="C268" s="9" t="inlineStr">
        <is>
          <t>STL</t>
        </is>
      </c>
      <c r="D268" s="9" t="n">
        <v>32</v>
      </c>
      <c r="E268" s="17" t="inlineStr">
        <is>
          <t>R</t>
        </is>
      </c>
      <c r="F268" s="17" t="n"/>
      <c r="G268" s="9" t="n">
        <v>123</v>
      </c>
      <c r="H268" s="9" t="n">
        <v>373</v>
      </c>
      <c r="I268" s="9" t="inlineStr">
        <is>
          <t>Closer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</f>
        <v/>
      </c>
      <c r="AD268" s="15">
        <f>SUMPRODUCT(M268:X268,$M$6:$X$6)</f>
        <v/>
      </c>
      <c r="AE268" s="19" t="n"/>
    </row>
    <row r="269">
      <c r="A269" s="9" t="n">
        <v>543518</v>
      </c>
      <c r="B269" s="9" t="inlineStr">
        <is>
          <t>Scott McGough</t>
        </is>
      </c>
      <c r="C269" s="9" t="inlineStr">
        <is>
          <t>OAK</t>
        </is>
      </c>
      <c r="D269" s="9" t="n">
        <v>37</v>
      </c>
      <c r="E269" s="17" t="inlineStr">
        <is>
          <t>R</t>
        </is>
      </c>
      <c r="F269" s="17" t="n"/>
      <c r="G269" s="9" t="n">
        <v>75</v>
      </c>
      <c r="H269" s="9" t="n">
        <v>526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</f>
        <v/>
      </c>
      <c r="AD269" s="15">
        <f>SUMPRODUCT(M269:X269,$M$6:$X$6)</f>
        <v/>
      </c>
      <c r="AE269" s="19" t="n"/>
    </row>
    <row r="270">
      <c r="A270" s="9" t="n">
        <v>623474</v>
      </c>
      <c r="B270" s="9" t="inlineStr">
        <is>
          <t>Jimmy Herget</t>
        </is>
      </c>
      <c r="C270" s="9" t="inlineStr">
        <is>
          <t>COL</t>
        </is>
      </c>
      <c r="D270" s="9" t="n">
        <v>33</v>
      </c>
      <c r="E270" s="17" t="inlineStr">
        <is>
          <t>R</t>
        </is>
      </c>
      <c r="F270" s="17" t="n"/>
      <c r="G270" s="9" t="n">
        <v>70</v>
      </c>
      <c r="H270" s="9" t="n">
        <v>862</v>
      </c>
      <c r="I270" s="9" t="inlineStr">
        <is>
          <t>Late Inning RP (Setup)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</f>
        <v/>
      </c>
      <c r="AD270" s="15">
        <f>SUMPRODUCT(M270:X270,$M$6:$X$6)</f>
        <v/>
      </c>
      <c r="AE270" s="19" t="n"/>
    </row>
    <row r="271">
      <c r="A271" s="9" t="n">
        <v>663460</v>
      </c>
      <c r="B271" s="9" t="inlineStr">
        <is>
          <t>Kris Bubic</t>
        </is>
      </c>
      <c r="C271" s="9" t="inlineStr">
        <is>
          <t>KC</t>
        </is>
      </c>
      <c r="D271" s="9" t="n">
        <v>29</v>
      </c>
      <c r="E271" s="17" t="inlineStr">
        <is>
          <t>L</t>
        </is>
      </c>
      <c r="F271" s="17" t="n"/>
      <c r="G271" s="9" t="n">
        <v>207</v>
      </c>
      <c r="H271" s="9" t="n">
        <v>1459</v>
      </c>
      <c r="I271" s="9" t="inlineStr">
        <is>
          <t>Mid-Rotation Starter (SP2-3)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</f>
        <v/>
      </c>
      <c r="AD271" s="15">
        <f>SUMPRODUCT(M271:X271,$M$6:$X$6)</f>
        <v/>
      </c>
      <c r="AE271" s="19" t="n"/>
    </row>
    <row r="272">
      <c r="A272" s="9" t="n">
        <v>674444</v>
      </c>
      <c r="B272" s="9" t="inlineStr">
        <is>
          <t>Steven Cruz</t>
        </is>
      </c>
      <c r="C272" s="9" t="inlineStr">
        <is>
          <t>KC</t>
        </is>
      </c>
      <c r="D272" s="9" t="n">
        <v>28</v>
      </c>
      <c r="E272" s="17" t="inlineStr">
        <is>
          <t>R</t>
        </is>
      </c>
      <c r="F272" s="17" t="n"/>
      <c r="G272" s="9" t="n">
        <v>77</v>
      </c>
      <c r="H272" s="9" t="n">
        <v>346</v>
      </c>
      <c r="I272" s="9" t="inlineStr">
        <is>
          <t>Late Inning RP (Setup)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</f>
        <v/>
      </c>
      <c r="AD272" s="15">
        <f>SUMPRODUCT(M272:X272,$M$6:$X$6)</f>
        <v/>
      </c>
      <c r="AE272" s="19" t="n"/>
    </row>
    <row r="273">
      <c r="A273" s="9" t="n">
        <v>669372</v>
      </c>
      <c r="B273" s="9" t="inlineStr">
        <is>
          <t>J.T. Ginn</t>
        </is>
      </c>
      <c r="C273" s="9" t="inlineStr">
        <is>
          <t>OAK</t>
        </is>
      </c>
      <c r="D273" s="9" t="n">
        <v>28</v>
      </c>
      <c r="E273" s="17" t="inlineStr">
        <is>
          <t>R</t>
        </is>
      </c>
      <c r="F273" s="17" t="n"/>
      <c r="G273" s="9" t="n">
        <v>290</v>
      </c>
      <c r="H273" s="9" t="n">
        <v>824</v>
      </c>
      <c r="I273" s="9" t="inlineStr">
        <is>
          <t>End-of-Rotation Starter (SP4-5)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</f>
        <v/>
      </c>
      <c r="AD273" s="15">
        <f>SUMPRODUCT(M273:X273,$M$6:$X$6)</f>
        <v/>
      </c>
      <c r="AE273" s="19" t="n"/>
    </row>
    <row r="274">
      <c r="A274" s="9" t="n">
        <v>670990</v>
      </c>
      <c r="B274" s="9" t="inlineStr">
        <is>
          <t>Yohan Ramírez</t>
        </is>
      </c>
      <c r="C274" s="9" t="inlineStr">
        <is>
          <t>PIT</t>
        </is>
      </c>
      <c r="D274" s="9" t="n">
        <v>32</v>
      </c>
      <c r="E274" s="17" t="inlineStr">
        <is>
          <t>R</t>
        </is>
      </c>
      <c r="F274" s="17" t="n"/>
      <c r="G274" s="9" t="n">
        <v>162</v>
      </c>
      <c r="H274" s="9" t="n">
        <v>868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</f>
        <v/>
      </c>
      <c r="AD274" s="15">
        <f>SUMPRODUCT(M274:X274,$M$6:$X$6)</f>
        <v/>
      </c>
      <c r="AE274" s="19" t="n"/>
    </row>
    <row r="275">
      <c r="A275" s="9" t="n">
        <v>669923</v>
      </c>
      <c r="B275" s="9" t="inlineStr">
        <is>
          <t>George Kirby</t>
        </is>
      </c>
      <c r="C275" s="9" t="inlineStr">
        <is>
          <t>SEA</t>
        </is>
      </c>
      <c r="D275" s="9" t="n">
        <v>29</v>
      </c>
      <c r="E275" s="17" t="inlineStr">
        <is>
          <t>R</t>
        </is>
      </c>
      <c r="F275" s="17" t="n"/>
      <c r="G275" s="9" t="n">
        <v>323</v>
      </c>
      <c r="H275" s="9" t="n">
        <v>2924</v>
      </c>
      <c r="I275" s="9" t="inlineStr">
        <is>
          <t>Mid-Rotation Starter (SP2-3)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</f>
        <v/>
      </c>
      <c r="AD275" s="15">
        <f>SUMPRODUCT(M275:X275,$M$6:$X$6)</f>
        <v/>
      </c>
      <c r="AE275" s="19" t="n"/>
    </row>
    <row r="276">
      <c r="A276" s="9" t="n">
        <v>675660</v>
      </c>
      <c r="B276" s="9" t="inlineStr">
        <is>
          <t>Shane Drohan</t>
        </is>
      </c>
      <c r="C276" s="9" t="inlineStr">
        <is>
          <t>MIL</t>
        </is>
      </c>
      <c r="D276" s="9" t="n">
        <v>28</v>
      </c>
      <c r="E276" s="17" t="inlineStr">
        <is>
          <t>L</t>
        </is>
      </c>
      <c r="F276" s="17" t="n"/>
      <c r="G276" s="9" t="n">
        <v>154</v>
      </c>
      <c r="H276" s="9" t="n">
        <v>154</v>
      </c>
      <c r="I276" s="9" t="inlineStr">
        <is>
          <t>Middle Relief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</f>
        <v/>
      </c>
      <c r="AD276" s="15">
        <f>SUMPRODUCT(M276:X276,$M$6:$X$6)</f>
        <v/>
      </c>
      <c r="AE276" s="19" t="n"/>
    </row>
    <row r="277">
      <c r="A277" s="9" t="n">
        <v>681343</v>
      </c>
      <c r="B277" s="9" t="inlineStr">
        <is>
          <t>Shane Smith</t>
        </is>
      </c>
      <c r="C277" s="9" t="inlineStr">
        <is>
          <t>CWS</t>
        </is>
      </c>
      <c r="D277" s="9" t="n">
        <v>27</v>
      </c>
      <c r="E277" s="17" t="inlineStr">
        <is>
          <t>R</t>
        </is>
      </c>
      <c r="F277" s="17" t="n"/>
      <c r="G277" s="9" t="n">
        <v>49</v>
      </c>
      <c r="H277" s="9" t="n">
        <v>665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</f>
        <v/>
      </c>
      <c r="AD277" s="15">
        <f>SUMPRODUCT(M277:X277,$M$6:$X$6)</f>
        <v/>
      </c>
      <c r="AE277" s="19" t="n"/>
    </row>
    <row r="278">
      <c r="A278" s="9" t="n">
        <v>608331</v>
      </c>
      <c r="B278" s="9" t="inlineStr">
        <is>
          <t>Max Fried</t>
        </is>
      </c>
      <c r="C278" s="9" t="inlineStr">
        <is>
          <t>NYY</t>
        </is>
      </c>
      <c r="D278" s="9" t="n">
        <v>33</v>
      </c>
      <c r="E278" s="17" t="inlineStr">
        <is>
          <t>L</t>
        </is>
      </c>
      <c r="F278" s="17" t="n"/>
      <c r="G278" s="9" t="n">
        <v>240</v>
      </c>
      <c r="H278" s="9" t="n">
        <v>2799</v>
      </c>
      <c r="I278" s="9" t="inlineStr">
        <is>
          <t>Ace (SP1)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</f>
        <v/>
      </c>
      <c r="AD278" s="15">
        <f>SUMPRODUCT(M278:X278,$M$6:$X$6)</f>
        <v/>
      </c>
      <c r="AE278" s="19" t="n"/>
    </row>
    <row r="279">
      <c r="A279" s="9" t="n">
        <v>837227</v>
      </c>
      <c r="B279" s="9" t="inlineStr">
        <is>
          <t>Tatsuya Imai</t>
        </is>
      </c>
      <c r="C279" s="9" t="inlineStr">
        <is>
          <t>HOU</t>
        </is>
      </c>
      <c r="D279" s="9" t="n">
        <v>29</v>
      </c>
      <c r="E279" s="17" t="inlineStr">
        <is>
          <t>R</t>
        </is>
      </c>
      <c r="F279" s="17" t="n"/>
      <c r="G279" s="9" t="n">
        <v>150</v>
      </c>
      <c r="H279" s="9" t="n">
        <v>150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</f>
        <v/>
      </c>
      <c r="AD279" s="15">
        <f>SUMPRODUCT(M279:X279,$M$6:$X$6)</f>
        <v/>
      </c>
      <c r="AE279" s="19" t="n"/>
    </row>
    <row r="280">
      <c r="A280" s="9" t="n">
        <v>519141</v>
      </c>
      <c r="B280" s="9" t="inlineStr">
        <is>
          <t>Drew Pomeranz</t>
        </is>
      </c>
      <c r="C280" s="9" t="inlineStr">
        <is>
          <t>LAA</t>
        </is>
      </c>
      <c r="D280" s="9" t="n">
        <v>38</v>
      </c>
      <c r="E280" s="17" t="inlineStr">
        <is>
          <t>L</t>
        </is>
      </c>
      <c r="F280" s="17" t="n"/>
      <c r="G280" s="9" t="n">
        <v>100</v>
      </c>
      <c r="H280" s="9" t="n">
        <v>303</v>
      </c>
      <c r="I280" s="9" t="inlineStr">
        <is>
          <t>Bullpen Depth Arm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</f>
        <v/>
      </c>
      <c r="AD280" s="15">
        <f>SUMPRODUCT(M280:X280,$M$6:$X$6)</f>
        <v/>
      </c>
      <c r="AE280" s="19" t="n"/>
    </row>
    <row r="281">
      <c r="A281" s="9" t="n">
        <v>681882</v>
      </c>
      <c r="B281" s="9" t="inlineStr">
        <is>
          <t>Colin Selby</t>
        </is>
      </c>
      <c r="C281" s="9" t="inlineStr">
        <is>
          <t>BAL</t>
        </is>
      </c>
      <c r="D281" s="9" t="n">
        <v>29</v>
      </c>
      <c r="E281" s="17" t="inlineStr">
        <is>
          <t>R</t>
        </is>
      </c>
      <c r="F281" s="17" t="n"/>
      <c r="G281" s="9" t="n">
        <v>60</v>
      </c>
      <c r="H281" s="9" t="n">
        <v>202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</f>
        <v/>
      </c>
      <c r="AD281" s="15">
        <f>SUMPRODUCT(M281:X281,$M$6:$X$6)</f>
        <v/>
      </c>
      <c r="AE281" s="19" t="n"/>
    </row>
    <row r="282">
      <c r="A282" s="9" t="n">
        <v>663321</v>
      </c>
      <c r="B282" s="9" t="inlineStr">
        <is>
          <t>Nick Hernandez</t>
        </is>
      </c>
      <c r="C282" s="9" t="inlineStr">
        <is>
          <t>HOU</t>
        </is>
      </c>
      <c r="D282" s="9" t="n">
        <v>32</v>
      </c>
      <c r="E282" s="17" t="inlineStr">
        <is>
          <t>R</t>
        </is>
      </c>
      <c r="F282" s="17" t="n"/>
      <c r="G282" s="9" t="n">
        <v>52</v>
      </c>
      <c r="H282" s="9" t="n">
        <v>104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</f>
        <v/>
      </c>
      <c r="AD282" s="15">
        <f>SUMPRODUCT(M282:X282,$M$6:$X$6)</f>
        <v/>
      </c>
      <c r="AE282" s="19" t="n"/>
    </row>
    <row r="283">
      <c r="A283" s="9" t="n">
        <v>642016</v>
      </c>
      <c r="B283" s="9" t="inlineStr">
        <is>
          <t>Daniel Robert</t>
        </is>
      </c>
      <c r="C283" s="9" t="inlineStr">
        <is>
          <t>PHI</t>
        </is>
      </c>
      <c r="D283" s="9" t="n">
        <v>32</v>
      </c>
      <c r="E283" s="17" t="inlineStr">
        <is>
          <t>R</t>
        </is>
      </c>
      <c r="F283" s="17" t="n"/>
      <c r="G283" s="9" t="n">
        <v>59</v>
      </c>
      <c r="H283" s="9" t="n">
        <v>85</v>
      </c>
      <c r="I283" s="9" t="inlineStr">
        <is>
          <t>Bullpen Depth Arm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</f>
        <v/>
      </c>
      <c r="AD283" s="15">
        <f>SUMPRODUCT(M283:X283,$M$6:$X$6)</f>
        <v/>
      </c>
      <c r="AE283" s="19" t="n"/>
    </row>
    <row r="284">
      <c r="A284" s="9" t="n">
        <v>689017</v>
      </c>
      <c r="B284" s="9" t="inlineStr">
        <is>
          <t>Landon Knack</t>
        </is>
      </c>
      <c r="C284" s="9" t="inlineStr">
        <is>
          <t>LAD</t>
        </is>
      </c>
      <c r="D284" s="9" t="n">
        <v>29</v>
      </c>
      <c r="E284" s="17" t="inlineStr">
        <is>
          <t>R</t>
        </is>
      </c>
      <c r="F284" s="17" t="n"/>
      <c r="G284" s="9" t="n">
        <v>185</v>
      </c>
      <c r="H284" s="9" t="n">
        <v>471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</f>
        <v/>
      </c>
      <c r="AD284" s="15">
        <f>SUMPRODUCT(M284:X284,$M$6:$X$6)</f>
        <v/>
      </c>
      <c r="AE284" s="19" t="n"/>
    </row>
    <row r="285">
      <c r="A285" s="9" t="n">
        <v>641401</v>
      </c>
      <c r="B285" s="9" t="inlineStr">
        <is>
          <t>Connor Brogdon</t>
        </is>
      </c>
      <c r="C285" s="9" t="inlineStr">
        <is>
          <t>CLE</t>
        </is>
      </c>
      <c r="D285" s="9" t="n">
        <v>32</v>
      </c>
      <c r="E285" s="17" t="inlineStr">
        <is>
          <t>R</t>
        </is>
      </c>
      <c r="F285" s="17" t="n"/>
      <c r="G285" s="9" t="n">
        <v>67</v>
      </c>
      <c r="H285" s="9" t="n">
        <v>600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</f>
        <v/>
      </c>
      <c r="AD285" s="15">
        <f>SUMPRODUCT(M285:X285,$M$6:$X$6)</f>
        <v/>
      </c>
      <c r="AE285" s="19" t="n"/>
    </row>
    <row r="286">
      <c r="A286" s="9" t="n">
        <v>694477</v>
      </c>
      <c r="B286" s="9" t="inlineStr">
        <is>
          <t>Chad Patrick</t>
        </is>
      </c>
      <c r="C286" s="9" t="inlineStr">
        <is>
          <t>MIL</t>
        </is>
      </c>
      <c r="D286" s="9" t="n">
        <v>28</v>
      </c>
      <c r="E286" s="17" t="inlineStr">
        <is>
          <t>R</t>
        </is>
      </c>
      <c r="F286" s="17" t="n"/>
      <c r="G286" s="9" t="n">
        <v>210</v>
      </c>
      <c r="H286" s="9" t="n">
        <v>713</v>
      </c>
      <c r="I286" s="9" t="inlineStr">
        <is>
          <t>End-of-Rotation Starter (SP4-5)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</f>
        <v/>
      </c>
      <c r="AD286" s="15">
        <f>SUMPRODUCT(M286:X286,$M$6:$X$6)</f>
        <v/>
      </c>
      <c r="AE286" s="19" t="n"/>
    </row>
    <row r="287">
      <c r="A287" s="9" t="n">
        <v>657376</v>
      </c>
      <c r="B287" s="9" t="inlineStr">
        <is>
          <t>Clarke Schmidt</t>
        </is>
      </c>
      <c r="C287" s="9" t="inlineStr">
        <is>
          <t>NYY</t>
        </is>
      </c>
      <c r="D287" s="9" t="n">
        <v>31</v>
      </c>
      <c r="E287" s="17" t="inlineStr">
        <is>
          <t>R</t>
        </is>
      </c>
      <c r="F287" s="17" t="n"/>
      <c r="G287" s="9" t="n">
        <v>316</v>
      </c>
      <c r="H287" s="9" t="n">
        <v>1599</v>
      </c>
      <c r="I287" s="9" t="inlineStr">
        <is>
          <t>Mid-Rotation Starter (SP2-3)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</f>
        <v/>
      </c>
      <c r="AD287" s="15">
        <f>SUMPRODUCT(M287:X287,$M$6:$X$6)</f>
        <v/>
      </c>
      <c r="AE287" s="19" t="n"/>
    </row>
    <row r="288">
      <c r="A288" s="9" t="n">
        <v>684049</v>
      </c>
      <c r="B288" s="9" t="inlineStr">
        <is>
          <t>Brandan Bidois</t>
        </is>
      </c>
      <c r="C288" s="9" t="inlineStr">
        <is>
          <t>PIT</t>
        </is>
      </c>
      <c r="D288" s="9" t="n">
        <v>26</v>
      </c>
      <c r="E288" s="17" t="inlineStr">
        <is>
          <t>R</t>
        </is>
      </c>
      <c r="F288" s="17" t="n"/>
      <c r="G288" s="9" t="n">
        <v>56</v>
      </c>
      <c r="H288" s="9" t="n">
        <v>56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</f>
        <v/>
      </c>
      <c r="AD288" s="15">
        <f>SUMPRODUCT(M288:X288,$M$6:$X$6)</f>
        <v/>
      </c>
      <c r="AE288" s="19" t="n"/>
    </row>
    <row r="289">
      <c r="A289" s="9" t="n">
        <v>622088</v>
      </c>
      <c r="B289" s="9" t="inlineStr">
        <is>
          <t>Tejay Antone</t>
        </is>
      </c>
      <c r="C289" s="9" t="inlineStr">
        <is>
          <t>CIN</t>
        </is>
      </c>
      <c r="D289" s="9" t="n">
        <v>33</v>
      </c>
      <c r="E289" s="17" t="inlineStr">
        <is>
          <t>R</t>
        </is>
      </c>
      <c r="F289" s="17" t="n"/>
      <c r="G289" s="9" t="n">
        <v>60</v>
      </c>
      <c r="H289" s="9" t="n">
        <v>92</v>
      </c>
      <c r="I289" s="9" t="inlineStr">
        <is>
          <t>Bullpen Depth Arm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</f>
        <v/>
      </c>
      <c r="AD289" s="15">
        <f>SUMPRODUCT(M289:X289,$M$6:$X$6)</f>
        <v/>
      </c>
      <c r="AE289" s="19" t="n"/>
    </row>
    <row r="290">
      <c r="A290" s="9" t="n">
        <v>678906</v>
      </c>
      <c r="B290" s="9" t="inlineStr">
        <is>
          <t>Kai-Wei Teng</t>
        </is>
      </c>
      <c r="C290" s="9" t="inlineStr">
        <is>
          <t>HOU</t>
        </is>
      </c>
      <c r="D290" s="9" t="n">
        <v>28</v>
      </c>
      <c r="E290" s="17" t="inlineStr">
        <is>
          <t>R</t>
        </is>
      </c>
      <c r="F290" s="17" t="n"/>
      <c r="G290" s="9" t="n">
        <v>215</v>
      </c>
      <c r="H290" s="9" t="n">
        <v>409</v>
      </c>
      <c r="I290" s="9" t="inlineStr">
        <is>
          <t>Bullpen Depth Arm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</f>
        <v/>
      </c>
      <c r="AD290" s="15">
        <f>SUMPRODUCT(M290:X290,$M$6:$X$6)</f>
        <v/>
      </c>
      <c r="AE290" s="19" t="n"/>
    </row>
    <row r="291">
      <c r="A291" s="9" t="n">
        <v>664285</v>
      </c>
      <c r="B291" s="9" t="inlineStr">
        <is>
          <t>Framber Valdez</t>
        </is>
      </c>
      <c r="C291" s="9" t="inlineStr">
        <is>
          <t>DET</t>
        </is>
      </c>
      <c r="D291" s="9" t="n">
        <v>33</v>
      </c>
      <c r="E291" s="17" t="inlineStr">
        <is>
          <t>L</t>
        </is>
      </c>
      <c r="F291" s="17" t="n"/>
      <c r="G291" s="9" t="n">
        <v>317</v>
      </c>
      <c r="H291" s="9" t="n">
        <v>3457</v>
      </c>
      <c r="I291" s="9" t="inlineStr">
        <is>
          <t>Ace (SP1)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</f>
        <v/>
      </c>
      <c r="AD291" s="15">
        <f>SUMPRODUCT(M291:X291,$M$6:$X$6)</f>
        <v/>
      </c>
      <c r="AE291" s="19" t="n"/>
    </row>
    <row r="292">
      <c r="A292" s="9" t="n">
        <v>668678</v>
      </c>
      <c r="B292" s="9" t="inlineStr">
        <is>
          <t>Zac Gallen</t>
        </is>
      </c>
      <c r="C292" s="9" t="inlineStr">
        <is>
          <t>ARI</t>
        </is>
      </c>
      <c r="D292" s="9" t="n">
        <v>31</v>
      </c>
      <c r="E292" s="17" t="inlineStr">
        <is>
          <t>R</t>
        </is>
      </c>
      <c r="F292" s="17" t="n"/>
      <c r="G292" s="9" t="n">
        <v>312</v>
      </c>
      <c r="H292" s="9" t="n">
        <v>3306</v>
      </c>
      <c r="I292" s="9" t="inlineStr">
        <is>
          <t>Mid-Rotation Starter (SP2-3)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</f>
        <v/>
      </c>
      <c r="AD292" s="15">
        <f>SUMPRODUCT(M292:X292,$M$6:$X$6)</f>
        <v/>
      </c>
      <c r="AE292" s="19" t="n"/>
    </row>
    <row r="293">
      <c r="A293" s="9" t="n">
        <v>445926</v>
      </c>
      <c r="B293" s="9" t="inlineStr">
        <is>
          <t>Jesse Chavez</t>
        </is>
      </c>
      <c r="C293" s="9" t="inlineStr">
        <is>
          <t>ATL</t>
        </is>
      </c>
      <c r="D293" s="9" t="n">
        <v>43</v>
      </c>
      <c r="E293" s="17" t="inlineStr">
        <is>
          <t>R</t>
        </is>
      </c>
      <c r="F293" s="17" t="n"/>
      <c r="G293" s="9" t="n">
        <v>43</v>
      </c>
      <c r="H293" s="9" t="n">
        <v>743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</f>
        <v/>
      </c>
      <c r="AD293" s="15">
        <f>SUMPRODUCT(M293:X293,$M$6:$X$6)</f>
        <v/>
      </c>
      <c r="AE293" s="19" t="n"/>
    </row>
    <row r="294">
      <c r="A294" s="9" t="n">
        <v>671936</v>
      </c>
      <c r="B294" s="9" t="inlineStr">
        <is>
          <t>Adam Macko</t>
        </is>
      </c>
      <c r="C294" s="9" t="inlineStr">
        <is>
          <t>TOR</t>
        </is>
      </c>
      <c r="D294" s="9" t="n">
        <v>26</v>
      </c>
      <c r="E294" s="17" t="inlineStr">
        <is>
          <t>L</t>
        </is>
      </c>
      <c r="F294" s="17" t="n"/>
      <c r="G294" s="9" t="n">
        <v>48</v>
      </c>
      <c r="H294" s="9" t="n">
        <v>48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</f>
        <v/>
      </c>
      <c r="AD294" s="15">
        <f>SUMPRODUCT(M294:X294,$M$6:$X$6)</f>
        <v/>
      </c>
      <c r="AE294" s="19" t="n"/>
    </row>
    <row r="295">
      <c r="A295" s="9" t="n">
        <v>691172</v>
      </c>
      <c r="B295" s="9" t="inlineStr">
        <is>
          <t>Yosver Zulueta</t>
        </is>
      </c>
      <c r="C295" s="9" t="inlineStr">
        <is>
          <t>CIN</t>
        </is>
      </c>
      <c r="D295" s="9" t="n">
        <v>29</v>
      </c>
      <c r="E295" s="17" t="inlineStr">
        <is>
          <t>R</t>
        </is>
      </c>
      <c r="F295" s="17" t="n"/>
      <c r="G295" s="9" t="n">
        <v>32</v>
      </c>
      <c r="H295" s="9" t="n">
        <v>101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</f>
        <v/>
      </c>
      <c r="AD295" s="15">
        <f>SUMPRODUCT(M295:X295,$M$6:$X$6)</f>
        <v/>
      </c>
      <c r="AE295" s="19" t="n"/>
    </row>
    <row r="296">
      <c r="A296" s="9" t="n">
        <v>685126</v>
      </c>
      <c r="B296" s="9" t="inlineStr">
        <is>
          <t>Brandon Eisert</t>
        </is>
      </c>
      <c r="C296" s="9" t="inlineStr">
        <is>
          <t>CWS</t>
        </is>
      </c>
      <c r="D296" s="9" t="n">
        <v>29</v>
      </c>
      <c r="E296" s="17" t="inlineStr">
        <is>
          <t>L</t>
        </is>
      </c>
      <c r="F296" s="17" t="n"/>
      <c r="G296" s="9" t="n">
        <v>65</v>
      </c>
      <c r="H296" s="9" t="n">
        <v>397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</f>
        <v/>
      </c>
      <c r="AD296" s="15">
        <f>SUMPRODUCT(M296:X296,$M$6:$X$6)</f>
        <v/>
      </c>
      <c r="AE296" s="19" t="n"/>
    </row>
    <row r="297">
      <c r="A297" s="9" t="n">
        <v>684007</v>
      </c>
      <c r="B297" s="9" t="inlineStr">
        <is>
          <t>Shota Imanaga</t>
        </is>
      </c>
      <c r="C297" s="9" t="inlineStr">
        <is>
          <t>CHC</t>
        </is>
      </c>
      <c r="D297" s="9" t="n">
        <v>33</v>
      </c>
      <c r="E297" s="17" t="inlineStr">
        <is>
          <t>L</t>
        </is>
      </c>
      <c r="F297" s="17" t="n"/>
      <c r="G297" s="9" t="n">
        <v>308</v>
      </c>
      <c r="H297" s="9" t="n">
        <v>1569</v>
      </c>
      <c r="I297" s="9" t="inlineStr">
        <is>
          <t>Ace (SP1)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</f>
        <v/>
      </c>
      <c r="AD297" s="15">
        <f>SUMPRODUCT(M297:X297,$M$6:$X$6)</f>
        <v/>
      </c>
      <c r="AE297" s="19" t="n"/>
    </row>
    <row r="298">
      <c r="A298" s="9" t="n">
        <v>606160</v>
      </c>
      <c r="B298" s="9" t="inlineStr">
        <is>
          <t>Rafael Montero</t>
        </is>
      </c>
      <c r="C298" s="9" t="inlineStr">
        <is>
          <t>DET</t>
        </is>
      </c>
      <c r="D298" s="9" t="n">
        <v>36</v>
      </c>
      <c r="E298" s="17" t="inlineStr">
        <is>
          <t>R</t>
        </is>
      </c>
      <c r="F298" s="17" t="n"/>
      <c r="G298" s="9" t="n">
        <v>253</v>
      </c>
      <c r="H298" s="9" t="n">
        <v>985</v>
      </c>
      <c r="I298" s="9" t="inlineStr">
        <is>
          <t>Middle Relief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</f>
        <v/>
      </c>
      <c r="AD298" s="15">
        <f>SUMPRODUCT(M298:X298,$M$6:$X$6)</f>
        <v/>
      </c>
      <c r="AE298" s="19" t="n"/>
    </row>
    <row r="299">
      <c r="A299" s="9" t="n">
        <v>666129</v>
      </c>
      <c r="B299" s="9" t="inlineStr">
        <is>
          <t>Braxton Garrett</t>
        </is>
      </c>
      <c r="C299" s="9" t="inlineStr">
        <is>
          <t>MIA</t>
        </is>
      </c>
      <c r="D299" s="9" t="n">
        <v>29</v>
      </c>
      <c r="E299" s="17" t="inlineStr">
        <is>
          <t>L</t>
        </is>
      </c>
      <c r="F299" s="17" t="n"/>
      <c r="G299" s="9" t="n">
        <v>28</v>
      </c>
      <c r="H299" s="9" t="n">
        <v>1221</v>
      </c>
      <c r="I299" s="9" t="inlineStr">
        <is>
          <t>End-of-Rotation Starter (SP4-5)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</f>
        <v/>
      </c>
      <c r="AD299" s="15">
        <f>SUMPRODUCT(M299:X299,$M$6:$X$6)</f>
        <v/>
      </c>
      <c r="AE299" s="19" t="n"/>
    </row>
    <row r="300">
      <c r="A300" s="9" t="n">
        <v>623211</v>
      </c>
      <c r="B300" s="9" t="inlineStr">
        <is>
          <t>Huascar Brazobán</t>
        </is>
      </c>
      <c r="C300" s="9" t="inlineStr">
        <is>
          <t>NYM</t>
        </is>
      </c>
      <c r="D300" s="9" t="n">
        <v>37</v>
      </c>
      <c r="E300" s="17" t="inlineStr">
        <is>
          <t>R</t>
        </is>
      </c>
      <c r="F300" s="17" t="n"/>
      <c r="G300" s="9" t="n">
        <v>132</v>
      </c>
      <c r="H300" s="9" t="n">
        <v>1009</v>
      </c>
      <c r="I300" s="9" t="inlineStr">
        <is>
          <t>Middle Relief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</f>
        <v/>
      </c>
      <c r="AD300" s="15">
        <f>SUMPRODUCT(M300:X300,$M$6:$X$6)</f>
        <v/>
      </c>
      <c r="AE300" s="19" t="n"/>
    </row>
    <row r="301">
      <c r="A301" s="9" t="n">
        <v>543859</v>
      </c>
      <c r="B301" s="9" t="inlineStr">
        <is>
          <t>Michael Tonkin</t>
        </is>
      </c>
      <c r="C301" s="9" t="inlineStr">
        <is>
          <t>MIN</t>
        </is>
      </c>
      <c r="D301" s="9" t="n">
        <v>37</v>
      </c>
      <c r="E301" s="17" t="inlineStr">
        <is>
          <t>R</t>
        </is>
      </c>
      <c r="F301" s="17" t="n"/>
      <c r="G301" s="9" t="n">
        <v>103</v>
      </c>
      <c r="H301" s="9" t="n">
        <v>768</v>
      </c>
      <c r="I301" s="9" t="inlineStr">
        <is>
          <t>Middle Relief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</f>
        <v/>
      </c>
      <c r="AD301" s="15">
        <f>SUMPRODUCT(M301:X301,$M$6:$X$6)</f>
        <v/>
      </c>
      <c r="AE301" s="19" t="n"/>
    </row>
    <row r="302">
      <c r="A302" s="9" t="n">
        <v>606303</v>
      </c>
      <c r="B302" s="9" t="inlineStr">
        <is>
          <t>Joel Payamps</t>
        </is>
      </c>
      <c r="C302" s="9" t="inlineStr">
        <is>
          <t>ATL</t>
        </is>
      </c>
      <c r="D302" s="9" t="n">
        <v>33</v>
      </c>
      <c r="E302" s="17" t="inlineStr">
        <is>
          <t>R</t>
        </is>
      </c>
      <c r="F302" s="17" t="n"/>
      <c r="G302" s="9" t="n">
        <v>36</v>
      </c>
      <c r="H302" s="9" t="n">
        <v>916</v>
      </c>
      <c r="I302" s="9" t="inlineStr">
        <is>
          <t>Bullpen Depth Arm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</f>
        <v/>
      </c>
      <c r="AD302" s="15">
        <f>SUMPRODUCT(M302:X302,$M$6:$X$6)</f>
        <v/>
      </c>
      <c r="AE302" s="19" t="n"/>
    </row>
    <row r="303">
      <c r="A303" s="9" t="n">
        <v>694738</v>
      </c>
      <c r="B303" s="9" t="inlineStr">
        <is>
          <t>Landen Roupp</t>
        </is>
      </c>
      <c r="C303" s="9" t="inlineStr">
        <is>
          <t>SF</t>
        </is>
      </c>
      <c r="D303" s="9" t="n">
        <v>28</v>
      </c>
      <c r="E303" s="17" t="inlineStr">
        <is>
          <t>R</t>
        </is>
      </c>
      <c r="F303" s="17" t="n"/>
      <c r="G303" s="9" t="n">
        <v>293</v>
      </c>
      <c r="H303" s="9" t="n">
        <v>986</v>
      </c>
      <c r="I303" s="9" t="inlineStr">
        <is>
          <t>End-of-Rotation Starter (SP4-5)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</f>
        <v/>
      </c>
      <c r="AD303" s="15">
        <f>SUMPRODUCT(M303:X303,$M$6:$X$6)</f>
        <v/>
      </c>
      <c r="AE303" s="19" t="n"/>
    </row>
    <row r="304">
      <c r="A304" s="9" t="n">
        <v>670167</v>
      </c>
      <c r="B304" s="9" t="inlineStr">
        <is>
          <t>John Schreiber</t>
        </is>
      </c>
      <c r="C304" s="9" t="inlineStr">
        <is>
          <t>KC</t>
        </is>
      </c>
      <c r="D304" s="9" t="n">
        <v>33</v>
      </c>
      <c r="E304" s="17" t="inlineStr">
        <is>
          <t>R</t>
        </is>
      </c>
      <c r="F304" s="17" t="n"/>
      <c r="G304" s="9" t="n">
        <v>106</v>
      </c>
      <c r="H304" s="9" t="n">
        <v>1056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</f>
        <v/>
      </c>
      <c r="AD304" s="15">
        <f>SUMPRODUCT(M304:X304,$M$6:$X$6)</f>
        <v/>
      </c>
      <c r="AE304" s="19" t="n"/>
    </row>
    <row r="305">
      <c r="A305" s="9" t="n">
        <v>693686</v>
      </c>
      <c r="B305" s="9" t="inlineStr">
        <is>
          <t>Spencer Miles</t>
        </is>
      </c>
      <c r="C305" s="9" t="inlineStr">
        <is>
          <t>TOR</t>
        </is>
      </c>
      <c r="D305" s="9" t="n">
        <v>26</v>
      </c>
      <c r="E305" s="17" t="inlineStr">
        <is>
          <t>R</t>
        </is>
      </c>
      <c r="F305" s="17" t="n"/>
      <c r="G305" s="9" t="n">
        <v>166</v>
      </c>
      <c r="H305" s="9" t="n">
        <v>166</v>
      </c>
      <c r="I305" s="9" t="inlineStr">
        <is>
          <t>Bullpen Depth Arm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</f>
        <v/>
      </c>
      <c r="AD305" s="15">
        <f>SUMPRODUCT(M305:X305,$M$6:$X$6)</f>
        <v/>
      </c>
      <c r="AE305" s="19" t="n"/>
    </row>
    <row r="306">
      <c r="A306" s="9" t="n">
        <v>690953</v>
      </c>
      <c r="B306" s="9" t="inlineStr">
        <is>
          <t>Mick Abel</t>
        </is>
      </c>
      <c r="C306" s="9" t="inlineStr">
        <is>
          <t>MIN</t>
        </is>
      </c>
      <c r="D306" s="9" t="n">
        <v>25</v>
      </c>
      <c r="E306" s="17" t="inlineStr">
        <is>
          <t>R</t>
        </is>
      </c>
      <c r="F306" s="17" t="n"/>
      <c r="G306" s="9" t="n">
        <v>93</v>
      </c>
      <c r="H306" s="9" t="n">
        <v>267</v>
      </c>
      <c r="I306" s="9" t="inlineStr">
        <is>
          <t>End-of-Rotation Starter (SP4-5)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</f>
        <v/>
      </c>
      <c r="AD306" s="15">
        <f>SUMPRODUCT(M306:X306,$M$6:$X$6)</f>
        <v/>
      </c>
      <c r="AE306" s="19" t="n"/>
    </row>
    <row r="307">
      <c r="A307" s="9" t="n">
        <v>670059</v>
      </c>
      <c r="B307" s="9" t="inlineStr">
        <is>
          <t>Colin Holderman</t>
        </is>
      </c>
      <c r="C307" s="9" t="inlineStr">
        <is>
          <t>CLE</t>
        </is>
      </c>
      <c r="D307" s="9" t="n">
        <v>31</v>
      </c>
      <c r="E307" s="17" t="inlineStr">
        <is>
          <t>R</t>
        </is>
      </c>
      <c r="F307" s="17" t="n"/>
      <c r="G307" s="9" t="n">
        <v>94</v>
      </c>
      <c r="H307" s="9" t="n">
        <v>800</v>
      </c>
      <c r="I307" s="9" t="inlineStr">
        <is>
          <t>Bullpen Depth Arm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</f>
        <v/>
      </c>
      <c r="AD307" s="15">
        <f>SUMPRODUCT(M307:X307,$M$6:$X$6)</f>
        <v/>
      </c>
      <c r="AE307" s="19" t="n"/>
    </row>
    <row r="308">
      <c r="A308" s="9" t="n">
        <v>699134</v>
      </c>
      <c r="B308" s="9" t="inlineStr">
        <is>
          <t>Bradgley Rodriguez</t>
        </is>
      </c>
      <c r="C308" s="9" t="inlineStr">
        <is>
          <t>SD</t>
        </is>
      </c>
      <c r="D308" s="9" t="n">
        <v>23</v>
      </c>
      <c r="E308" s="17" t="inlineStr">
        <is>
          <t>R</t>
        </is>
      </c>
      <c r="F308" s="17" t="n"/>
      <c r="G308" s="9" t="n">
        <v>130</v>
      </c>
      <c r="H308" s="9" t="n">
        <v>161</v>
      </c>
      <c r="I308" s="9" t="inlineStr">
        <is>
          <t>Middle Relief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</f>
        <v/>
      </c>
      <c r="AD308" s="15">
        <f>SUMPRODUCT(M308:X308,$M$6:$X$6)</f>
        <v/>
      </c>
      <c r="AE308" s="19" t="n"/>
    </row>
    <row r="309">
      <c r="A309" s="9" t="n">
        <v>663671</v>
      </c>
      <c r="B309" s="9" t="inlineStr">
        <is>
          <t>Nic Enright</t>
        </is>
      </c>
      <c r="C309" s="9" t="inlineStr">
        <is>
          <t>CLE</t>
        </is>
      </c>
      <c r="D309" s="9" t="n">
        <v>30</v>
      </c>
      <c r="E309" s="17" t="inlineStr">
        <is>
          <t>R</t>
        </is>
      </c>
      <c r="F309" s="17" t="n"/>
      <c r="G309" s="9" t="n">
        <v>127</v>
      </c>
      <c r="H309" s="9" t="n">
        <v>127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</f>
        <v/>
      </c>
      <c r="AD309" s="15">
        <f>SUMPRODUCT(M309:X309,$M$6:$X$6)</f>
        <v/>
      </c>
      <c r="AE309" s="19" t="n"/>
    </row>
    <row r="310">
      <c r="A310" s="9" t="n">
        <v>805123</v>
      </c>
      <c r="B310" s="9" t="inlineStr">
        <is>
          <t>AJ Blubaugh</t>
        </is>
      </c>
      <c r="C310" s="9" t="inlineStr">
        <is>
          <t>HOU</t>
        </is>
      </c>
      <c r="D310" s="9" t="n">
        <v>26</v>
      </c>
      <c r="E310" s="17" t="inlineStr">
        <is>
          <t>R</t>
        </is>
      </c>
      <c r="F310" s="17" t="n"/>
      <c r="G310" s="9" t="n">
        <v>182</v>
      </c>
      <c r="H310" s="9" t="n">
        <v>306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</f>
        <v/>
      </c>
      <c r="AD310" s="15">
        <f>SUMPRODUCT(M310:X310,$M$6:$X$6)</f>
        <v/>
      </c>
      <c r="AE310" s="19" t="n"/>
    </row>
    <row r="311">
      <c r="A311" s="9" t="n">
        <v>691441</v>
      </c>
      <c r="B311" s="9" t="inlineStr">
        <is>
          <t>Cristian Mena</t>
        </is>
      </c>
      <c r="C311" s="9" t="inlineStr">
        <is>
          <t>ARI</t>
        </is>
      </c>
      <c r="D311" s="9" t="n">
        <v>24</v>
      </c>
      <c r="E311" s="17" t="inlineStr">
        <is>
          <t>R</t>
        </is>
      </c>
      <c r="F311" s="17" t="n"/>
      <c r="G311" s="9" t="n">
        <v>26</v>
      </c>
      <c r="H311" s="9" t="n">
        <v>41</v>
      </c>
      <c r="I311" s="9" t="inlineStr">
        <is>
          <t>Middle Relief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</f>
        <v/>
      </c>
      <c r="AD311" s="15">
        <f>SUMPRODUCT(M311:X311,$M$6:$X$6)</f>
        <v/>
      </c>
      <c r="AE311" s="19" t="n"/>
    </row>
    <row r="312">
      <c r="A312" s="9" t="n">
        <v>689818</v>
      </c>
      <c r="B312" s="9" t="inlineStr">
        <is>
          <t>David Sandlin</t>
        </is>
      </c>
      <c r="C312" s="9" t="inlineStr">
        <is>
          <t>CWS</t>
        </is>
      </c>
      <c r="D312" s="9" t="n">
        <v>26</v>
      </c>
      <c r="E312" s="17" t="inlineStr">
        <is>
          <t>R</t>
        </is>
      </c>
      <c r="F312" s="17" t="n"/>
      <c r="G312" s="9" t="n">
        <v>58</v>
      </c>
      <c r="H312" s="9" t="n">
        <v>58</v>
      </c>
      <c r="I312" s="9" t="inlineStr">
        <is>
          <t>End-of-Rotation Starter (SP4-5)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</f>
        <v/>
      </c>
      <c r="AD312" s="15">
        <f>SUMPRODUCT(M312:X312,$M$6:$X$6)</f>
        <v/>
      </c>
      <c r="AE312" s="19" t="n"/>
    </row>
    <row r="313">
      <c r="A313" s="9" t="n">
        <v>656271</v>
      </c>
      <c r="B313" s="9" t="inlineStr">
        <is>
          <t>Brock Burke</t>
        </is>
      </c>
      <c r="C313" s="9" t="inlineStr">
        <is>
          <t>CIN</t>
        </is>
      </c>
      <c r="D313" s="9" t="n">
        <v>30</v>
      </c>
      <c r="E313" s="17" t="inlineStr">
        <is>
          <t>L</t>
        </is>
      </c>
      <c r="F313" s="17" t="n"/>
      <c r="G313" s="9" t="n">
        <v>138</v>
      </c>
      <c r="H313" s="9" t="n">
        <v>1127</v>
      </c>
      <c r="I313" s="9" t="inlineStr">
        <is>
          <t>Middle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</f>
        <v/>
      </c>
      <c r="AD313" s="15">
        <f>SUMPRODUCT(M313:X313,$M$6:$X$6)</f>
        <v/>
      </c>
      <c r="AE313" s="19" t="n"/>
    </row>
    <row r="314">
      <c r="A314" s="9" t="n">
        <v>681035</v>
      </c>
      <c r="B314" s="9" t="inlineStr">
        <is>
          <t>Christian Scott</t>
        </is>
      </c>
      <c r="C314" s="9" t="inlineStr">
        <is>
          <t>NYM</t>
        </is>
      </c>
      <c r="D314" s="9" t="n">
        <v>28</v>
      </c>
      <c r="E314" s="17" t="inlineStr">
        <is>
          <t>R</t>
        </is>
      </c>
      <c r="F314" s="17" t="n"/>
      <c r="G314" s="9" t="n">
        <v>156</v>
      </c>
      <c r="H314" s="9" t="n">
        <v>353</v>
      </c>
      <c r="I314" s="9" t="inlineStr">
        <is>
          <t>End-of-Rotation Starter (SP4-5)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</f>
        <v/>
      </c>
      <c r="AD314" s="15">
        <f>SUMPRODUCT(M314:X314,$M$6:$X$6)</f>
        <v/>
      </c>
      <c r="AE314" s="19" t="n"/>
    </row>
    <row r="315">
      <c r="A315" s="9" t="n">
        <v>668941</v>
      </c>
      <c r="B315" s="9" t="inlineStr">
        <is>
          <t>JoJo Romero</t>
        </is>
      </c>
      <c r="C315" s="9" t="inlineStr">
        <is>
          <t>STL</t>
        </is>
      </c>
      <c r="D315" s="9" t="n">
        <v>30</v>
      </c>
      <c r="E315" s="17" t="inlineStr">
        <is>
          <t>L</t>
        </is>
      </c>
      <c r="F315" s="17" t="n"/>
      <c r="G315" s="9" t="n">
        <v>121</v>
      </c>
      <c r="H315" s="9" t="n">
        <v>833</v>
      </c>
      <c r="I315" s="9" t="inlineStr">
        <is>
          <t>Middle Relief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</f>
        <v/>
      </c>
      <c r="AD315" s="15">
        <f>SUMPRODUCT(M315:X315,$M$6:$X$6)</f>
        <v/>
      </c>
      <c r="AE315" s="19" t="n"/>
    </row>
    <row r="316">
      <c r="A316" s="9" t="n">
        <v>676440</v>
      </c>
      <c r="B316" s="9" t="inlineStr">
        <is>
          <t>Tanner Bibee</t>
        </is>
      </c>
      <c r="C316" s="9" t="inlineStr">
        <is>
          <t>CLE</t>
        </is>
      </c>
      <c r="D316" s="9" t="n">
        <v>28</v>
      </c>
      <c r="E316" s="17" t="inlineStr">
        <is>
          <t>R</t>
        </is>
      </c>
      <c r="F316" s="17" t="n"/>
      <c r="G316" s="9" t="n">
        <v>317</v>
      </c>
      <c r="H316" s="9" t="n">
        <v>2374</v>
      </c>
      <c r="I316" s="9" t="inlineStr">
        <is>
          <t>Mid-Rotation Starter (SP2-3)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</f>
        <v/>
      </c>
      <c r="AD316" s="15">
        <f>SUMPRODUCT(M316:X316,$M$6:$X$6)</f>
        <v/>
      </c>
      <c r="AE316" s="19" t="n"/>
    </row>
    <row r="317">
      <c r="A317" s="9" t="n">
        <v>669212</v>
      </c>
      <c r="B317" s="9" t="inlineStr">
        <is>
          <t>Eli Morgan</t>
        </is>
      </c>
      <c r="C317" s="9" t="inlineStr">
        <is>
          <t>KC</t>
        </is>
      </c>
      <c r="D317" s="9" t="n">
        <v>31</v>
      </c>
      <c r="E317" s="17" t="inlineStr">
        <is>
          <t>R</t>
        </is>
      </c>
      <c r="F317" s="17" t="n"/>
      <c r="G317" s="9" t="n">
        <v>81</v>
      </c>
      <c r="H317" s="9" t="n">
        <v>838</v>
      </c>
      <c r="I317" s="9" t="inlineStr">
        <is>
          <t>Late Inning RP (Setup)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</f>
        <v/>
      </c>
      <c r="AD317" s="15">
        <f>SUMPRODUCT(M317:X317,$M$6:$X$6)</f>
        <v/>
      </c>
      <c r="AE317" s="19" t="n"/>
    </row>
    <row r="318">
      <c r="A318" s="9" t="n">
        <v>687830</v>
      </c>
      <c r="B318" s="9" t="inlineStr">
        <is>
          <t>Sawyer Gipson-Long</t>
        </is>
      </c>
      <c r="C318" s="9" t="inlineStr">
        <is>
          <t>DET</t>
        </is>
      </c>
      <c r="D318" s="9" t="n">
        <v>29</v>
      </c>
      <c r="E318" s="17" t="inlineStr">
        <is>
          <t>R</t>
        </is>
      </c>
      <c r="F318" s="17" t="n"/>
      <c r="G318" s="9" t="n">
        <v>133</v>
      </c>
      <c r="H318" s="9" t="n">
        <v>215</v>
      </c>
      <c r="I318" s="9" t="inlineStr">
        <is>
          <t>End-of-Rotation Starter (SP4-5)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</f>
        <v/>
      </c>
      <c r="AD318" s="15">
        <f>SUMPRODUCT(M318:X318,$M$6:$X$6)</f>
        <v/>
      </c>
      <c r="AE318" s="19" t="n"/>
    </row>
    <row r="319">
      <c r="A319" s="9" t="n">
        <v>682608</v>
      </c>
      <c r="B319" s="9" t="inlineStr">
        <is>
          <t>Peyton Gray</t>
        </is>
      </c>
      <c r="C319" s="9" t="inlineStr">
        <is>
          <t>TEX</t>
        </is>
      </c>
      <c r="D319" s="9" t="n">
        <v>32</v>
      </c>
      <c r="E319" s="17" t="inlineStr">
        <is>
          <t>R</t>
        </is>
      </c>
      <c r="F319" s="17" t="n"/>
      <c r="G319" s="9" t="n">
        <v>89</v>
      </c>
      <c r="H319" s="9" t="n">
        <v>89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</f>
        <v/>
      </c>
      <c r="AD319" s="15">
        <f>SUMPRODUCT(M319:X319,$M$6:$X$6)</f>
        <v/>
      </c>
      <c r="AE319" s="19" t="n"/>
    </row>
    <row r="320">
      <c r="A320" s="9" t="n">
        <v>664351</v>
      </c>
      <c r="B320" s="9" t="inlineStr">
        <is>
          <t>Luis Contreras</t>
        </is>
      </c>
      <c r="C320" s="9" t="inlineStr">
        <is>
          <t>HOU</t>
        </is>
      </c>
      <c r="D320" s="9" t="n">
        <v>31</v>
      </c>
      <c r="E320" s="17" t="inlineStr">
        <is>
          <t>R</t>
        </is>
      </c>
      <c r="F320" s="17" t="n"/>
      <c r="G320" s="9" t="n">
        <v>54</v>
      </c>
      <c r="H320" s="9" t="n">
        <v>80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</f>
        <v/>
      </c>
      <c r="AD320" s="15">
        <f>SUMPRODUCT(M320:X320,$M$6:$X$6)</f>
        <v/>
      </c>
      <c r="AE320" s="19" t="n"/>
    </row>
    <row r="321">
      <c r="A321" s="9" t="n">
        <v>680732</v>
      </c>
      <c r="B321" s="9" t="inlineStr">
        <is>
          <t>Sean Burke</t>
        </is>
      </c>
      <c r="C321" s="9" t="inlineStr">
        <is>
          <t>CWS</t>
        </is>
      </c>
      <c r="D321" s="9" t="n">
        <v>27</v>
      </c>
      <c r="E321" s="17" t="inlineStr">
        <is>
          <t>R</t>
        </is>
      </c>
      <c r="F321" s="17" t="n"/>
      <c r="G321" s="9" t="n">
        <v>291</v>
      </c>
      <c r="H321" s="9" t="n">
        <v>963</v>
      </c>
      <c r="I321" s="9" t="inlineStr">
        <is>
          <t>End-of-Rotation Starter (SP4-5)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</f>
        <v/>
      </c>
      <c r="AD321" s="15">
        <f>SUMPRODUCT(M321:X321,$M$6:$X$6)</f>
        <v/>
      </c>
      <c r="AE321" s="19" t="n"/>
    </row>
    <row r="322">
      <c r="A322" s="9" t="n">
        <v>681982</v>
      </c>
      <c r="B322" s="9" t="inlineStr">
        <is>
          <t>Grant Anderson</t>
        </is>
      </c>
      <c r="C322" s="9" t="inlineStr">
        <is>
          <t>MIL</t>
        </is>
      </c>
      <c r="D322" s="9" t="n">
        <v>30</v>
      </c>
      <c r="E322" s="17" t="inlineStr">
        <is>
          <t>R</t>
        </is>
      </c>
      <c r="F322" s="17" t="n"/>
      <c r="G322" s="9" t="n">
        <v>109</v>
      </c>
      <c r="H322" s="9" t="n">
        <v>682</v>
      </c>
      <c r="I322" s="9" t="inlineStr">
        <is>
          <t>Middle Relief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</f>
        <v/>
      </c>
      <c r="AD322" s="15">
        <f>SUMPRODUCT(M322:X322,$M$6:$X$6)</f>
        <v/>
      </c>
      <c r="AE322" s="19" t="n"/>
    </row>
    <row r="323">
      <c r="A323" s="9" t="n">
        <v>621383</v>
      </c>
      <c r="B323" s="9" t="inlineStr">
        <is>
          <t>Tanner Banks</t>
        </is>
      </c>
      <c r="C323" s="9" t="inlineStr">
        <is>
          <t>PHI</t>
        </is>
      </c>
      <c r="D323" s="9" t="n">
        <v>35</v>
      </c>
      <c r="E323" s="17" t="inlineStr">
        <is>
          <t>L</t>
        </is>
      </c>
      <c r="F323" s="17" t="n"/>
      <c r="G323" s="9" t="n">
        <v>116</v>
      </c>
      <c r="H323" s="9" t="n">
        <v>1166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</f>
        <v/>
      </c>
      <c r="AD323" s="15">
        <f>SUMPRODUCT(M323:X323,$M$6:$X$6)</f>
        <v/>
      </c>
      <c r="AE323" s="19" t="n"/>
    </row>
    <row r="324">
      <c r="A324" s="9" t="n">
        <v>621051</v>
      </c>
      <c r="B324" s="9" t="inlineStr">
        <is>
          <t>Steven Wilson</t>
        </is>
      </c>
      <c r="C324" s="9" t="inlineStr">
        <is>
          <t>CWS</t>
        </is>
      </c>
      <c r="D324" s="9" t="n">
        <v>32</v>
      </c>
      <c r="E324" s="17" t="inlineStr">
        <is>
          <t>R</t>
        </is>
      </c>
      <c r="F324" s="17" t="n"/>
      <c r="G324" s="9" t="n">
        <v>241</v>
      </c>
      <c r="H324" s="9" t="n">
        <v>837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</f>
        <v/>
      </c>
      <c r="AD324" s="15">
        <f>SUMPRODUCT(M324:X324,$M$6:$X$6)</f>
        <v/>
      </c>
      <c r="AE324" s="19" t="n"/>
    </row>
    <row r="325">
      <c r="A325" s="9" t="n">
        <v>669358</v>
      </c>
      <c r="B325" s="9" t="inlineStr">
        <is>
          <t>Shane Baz</t>
        </is>
      </c>
      <c r="C325" s="9" t="inlineStr">
        <is>
          <t>BAL</t>
        </is>
      </c>
      <c r="D325" s="9" t="n">
        <v>28</v>
      </c>
      <c r="E325" s="17" t="inlineStr">
        <is>
          <t>R</t>
        </is>
      </c>
      <c r="F325" s="17" t="n"/>
      <c r="G325" s="9" t="n">
        <v>331</v>
      </c>
      <c r="H325" s="9" t="n">
        <v>1478</v>
      </c>
      <c r="I325" s="9" t="inlineStr">
        <is>
          <t>Mid-Rotation Starter (SP2-3)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</f>
        <v/>
      </c>
      <c r="AD325" s="15">
        <f>SUMPRODUCT(M325:X325,$M$6:$X$6)</f>
        <v/>
      </c>
      <c r="AE325" s="19" t="n"/>
    </row>
    <row r="326">
      <c r="A326" s="9" t="n">
        <v>696149</v>
      </c>
      <c r="B326" s="9" t="inlineStr">
        <is>
          <t>Bubba Chandler</t>
        </is>
      </c>
      <c r="C326" s="9" t="inlineStr">
        <is>
          <t>PIT</t>
        </is>
      </c>
      <c r="D326" s="9" t="n">
        <v>24</v>
      </c>
      <c r="E326" s="17" t="inlineStr">
        <is>
          <t>R</t>
        </is>
      </c>
      <c r="F326" s="17" t="n"/>
      <c r="G326" s="9" t="n">
        <v>279</v>
      </c>
      <c r="H326" s="9" t="n">
        <v>403</v>
      </c>
      <c r="I326" s="9" t="inlineStr">
        <is>
          <t>End-of-Rotation Starter (SP4-5)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</f>
        <v/>
      </c>
      <c r="AD326" s="15">
        <f>SUMPRODUCT(M326:X326,$M$6:$X$6)</f>
        <v/>
      </c>
      <c r="AE326" s="19" t="n"/>
    </row>
    <row r="327">
      <c r="A327" s="9" t="n">
        <v>686930</v>
      </c>
      <c r="B327" s="9" t="inlineStr">
        <is>
          <t>Mason Barnett</t>
        </is>
      </c>
      <c r="C327" s="9" t="inlineStr">
        <is>
          <t>OAK</t>
        </is>
      </c>
      <c r="D327" s="9" t="n">
        <v>26</v>
      </c>
      <c r="E327" s="17" t="inlineStr">
        <is>
          <t>R</t>
        </is>
      </c>
      <c r="F327" s="17" t="n"/>
      <c r="G327" s="9" t="n">
        <v>29</v>
      </c>
      <c r="H327" s="9" t="n">
        <v>133</v>
      </c>
      <c r="I327" s="9" t="inlineStr">
        <is>
          <t>End-of-Rotation Starter (SP4-5)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</f>
        <v/>
      </c>
      <c r="AD327" s="15">
        <f>SUMPRODUCT(M327:X327,$M$6:$X$6)</f>
        <v/>
      </c>
      <c r="AE327" s="19" t="n"/>
    </row>
    <row r="328">
      <c r="A328" s="9" t="n">
        <v>663455</v>
      </c>
      <c r="B328" s="9" t="inlineStr">
        <is>
          <t>Konnor Pilkington</t>
        </is>
      </c>
      <c r="C328" s="9" t="inlineStr">
        <is>
          <t>WSH</t>
        </is>
      </c>
      <c r="D328" s="9" t="n">
        <v>29</v>
      </c>
      <c r="E328" s="17" t="inlineStr">
        <is>
          <t>L</t>
        </is>
      </c>
      <c r="F328" s="17" t="n"/>
      <c r="G328" s="9" t="n">
        <v>123</v>
      </c>
      <c r="H328" s="9" t="n">
        <v>389</v>
      </c>
      <c r="I328" s="9" t="inlineStr">
        <is>
          <t>Bullpen Depth Arm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</f>
        <v/>
      </c>
      <c r="AD328" s="15">
        <f>SUMPRODUCT(M328:X328,$M$6:$X$6)</f>
        <v/>
      </c>
      <c r="AE328" s="19" t="n"/>
    </row>
    <row r="329">
      <c r="A329" s="9" t="n">
        <v>674841</v>
      </c>
      <c r="B329" s="9" t="inlineStr">
        <is>
          <t>Andrew Alvarez</t>
        </is>
      </c>
      <c r="C329" s="9" t="inlineStr">
        <is>
          <t>WSH</t>
        </is>
      </c>
      <c r="D329" s="9" t="n">
        <v>28</v>
      </c>
      <c r="E329" s="17" t="inlineStr">
        <is>
          <t>L</t>
        </is>
      </c>
      <c r="F329" s="17" t="n"/>
      <c r="G329" s="9" t="n">
        <v>103</v>
      </c>
      <c r="H329" s="9" t="n">
        <v>201</v>
      </c>
      <c r="I329" s="9" t="inlineStr">
        <is>
          <t>End-of-Rotation Starter (SP4-5)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</f>
        <v/>
      </c>
      <c r="AD329" s="15">
        <f>SUMPRODUCT(M329:X329,$M$6:$X$6)</f>
        <v/>
      </c>
      <c r="AE329" s="19" t="n"/>
    </row>
    <row r="330">
      <c r="A330" s="9" t="n">
        <v>477132</v>
      </c>
      <c r="B330" s="9" t="inlineStr">
        <is>
          <t>Clayton Kershaw</t>
        </is>
      </c>
      <c r="C330" s="9" t="inlineStr">
        <is>
          <t>LAD</t>
        </is>
      </c>
      <c r="D330" s="9" t="n">
        <v>39</v>
      </c>
      <c r="E330" s="17" t="inlineStr">
        <is>
          <t>L</t>
        </is>
      </c>
      <c r="F330" s="17" t="n"/>
      <c r="G330" s="9" t="n">
        <v>463</v>
      </c>
      <c r="H330" s="9" t="n">
        <v>1612</v>
      </c>
      <c r="I330" s="9" t="inlineStr">
        <is>
          <t>End-of-Rotation Starter (SP4-5)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</f>
        <v/>
      </c>
      <c r="AD330" s="15">
        <f>SUMPRODUCT(M330:X330,$M$6:$X$6)</f>
        <v/>
      </c>
      <c r="AE330" s="19" t="n"/>
    </row>
    <row r="331">
      <c r="A331" s="9" t="n">
        <v>815083</v>
      </c>
      <c r="B331" s="9" t="inlineStr">
        <is>
          <t>Mitch Farris</t>
        </is>
      </c>
      <c r="C331" s="9" t="inlineStr">
        <is>
          <t>LAA</t>
        </is>
      </c>
      <c r="D331" s="9" t="n">
        <v>26</v>
      </c>
      <c r="E331" s="17" t="inlineStr">
        <is>
          <t>L</t>
        </is>
      </c>
      <c r="F331" s="17" t="n"/>
      <c r="G331" s="9" t="n">
        <v>106</v>
      </c>
      <c r="H331" s="9" t="n">
        <v>213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</f>
        <v/>
      </c>
      <c r="AD331" s="15">
        <f>SUMPRODUCT(M331:X331,$M$6:$X$6)</f>
        <v/>
      </c>
      <c r="AE331" s="19" t="n"/>
    </row>
    <row r="332">
      <c r="A332" s="9" t="n">
        <v>669084</v>
      </c>
      <c r="B332" s="9" t="inlineStr">
        <is>
          <t>DL Hall</t>
        </is>
      </c>
      <c r="C332" s="9" t="inlineStr">
        <is>
          <t>MIL</t>
        </is>
      </c>
      <c r="D332" s="9" t="n">
        <v>28</v>
      </c>
      <c r="E332" s="17" t="inlineStr">
        <is>
          <t>L</t>
        </is>
      </c>
      <c r="F332" s="17" t="n"/>
      <c r="G332" s="9" t="n">
        <v>126</v>
      </c>
      <c r="H332" s="9" t="n">
        <v>623</v>
      </c>
      <c r="I332" s="9" t="inlineStr">
        <is>
          <t>Bullpen Depth Arm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</f>
        <v/>
      </c>
      <c r="AD332" s="15">
        <f>SUMPRODUCT(M332:X332,$M$6:$X$6)</f>
        <v/>
      </c>
      <c r="AE332" s="19" t="n"/>
    </row>
    <row r="333">
      <c r="A333" s="9" t="n">
        <v>681857</v>
      </c>
      <c r="B333" s="9" t="inlineStr">
        <is>
          <t>Reese Olson</t>
        </is>
      </c>
      <c r="C333" s="9" t="inlineStr">
        <is>
          <t>DET</t>
        </is>
      </c>
      <c r="D333" s="9" t="n">
        <v>27</v>
      </c>
      <c r="E333" s="17" t="inlineStr">
        <is>
          <t>R</t>
        </is>
      </c>
      <c r="F333" s="17" t="n"/>
      <c r="G333" s="9" t="n">
        <v>285</v>
      </c>
      <c r="H333" s="9" t="n">
        <v>1172</v>
      </c>
      <c r="I333" s="9" t="inlineStr">
        <is>
          <t>Mid-Rotation Starter (SP2-3)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</f>
        <v/>
      </c>
      <c r="AD333" s="15">
        <f>SUMPRODUCT(M333:X333,$M$6:$X$6)</f>
        <v/>
      </c>
      <c r="AE333" s="19" t="n"/>
    </row>
    <row r="334">
      <c r="A334" s="9" t="n">
        <v>669713</v>
      </c>
      <c r="B334" s="9" t="inlineStr">
        <is>
          <t>Hayden Wesneski</t>
        </is>
      </c>
      <c r="C334" s="9" t="inlineStr">
        <is>
          <t>HOU</t>
        </is>
      </c>
      <c r="D334" s="9" t="n">
        <v>29</v>
      </c>
      <c r="E334" s="17" t="inlineStr">
        <is>
          <t>R</t>
        </is>
      </c>
      <c r="F334" s="17" t="n"/>
      <c r="G334" s="9" t="n">
        <v>131</v>
      </c>
      <c r="H334" s="9" t="n">
        <v>925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</f>
        <v/>
      </c>
      <c r="AD334" s="15">
        <f>SUMPRODUCT(M334:X334,$M$6:$X$6)</f>
        <v/>
      </c>
      <c r="AE334" s="19" t="n"/>
    </row>
    <row r="335">
      <c r="A335" s="9" t="n">
        <v>663795</v>
      </c>
      <c r="B335" s="9" t="inlineStr">
        <is>
          <t>Justin Hagenman</t>
        </is>
      </c>
      <c r="C335" s="9" t="inlineStr">
        <is>
          <t>NYM</t>
        </is>
      </c>
      <c r="D335" s="9" t="n">
        <v>30</v>
      </c>
      <c r="E335" s="17" t="inlineStr">
        <is>
          <t>R</t>
        </is>
      </c>
      <c r="F335" s="17" t="n"/>
      <c r="G335" s="9" t="n">
        <v>99</v>
      </c>
      <c r="H335" s="9" t="n">
        <v>99</v>
      </c>
      <c r="I335" s="9" t="inlineStr">
        <is>
          <t>Bullpen Depth Arm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</f>
        <v/>
      </c>
      <c r="AD335" s="15">
        <f>SUMPRODUCT(M335:X335,$M$6:$X$6)</f>
        <v/>
      </c>
      <c r="AE335" s="19" t="n"/>
    </row>
    <row r="336">
      <c r="A336" s="9" t="n">
        <v>656794</v>
      </c>
      <c r="B336" s="9" t="inlineStr">
        <is>
          <t>Sean Newcomb</t>
        </is>
      </c>
      <c r="C336" s="9" t="inlineStr">
        <is>
          <t>CWS</t>
        </is>
      </c>
      <c r="D336" s="9" t="n">
        <v>34</v>
      </c>
      <c r="E336" s="17" t="inlineStr">
        <is>
          <t>L</t>
        </is>
      </c>
      <c r="F336" s="17" t="n"/>
      <c r="G336" s="9" t="n">
        <v>151</v>
      </c>
      <c r="H336" s="9" t="n">
        <v>782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</f>
        <v/>
      </c>
      <c r="AD336" s="15">
        <f>SUMPRODUCT(M336:X336,$M$6:$X$6)</f>
        <v/>
      </c>
      <c r="AE336" s="19" t="n"/>
    </row>
    <row r="337">
      <c r="A337" s="9" t="n">
        <v>677960</v>
      </c>
      <c r="B337" s="9" t="inlineStr">
        <is>
          <t>Ryan Weathers</t>
        </is>
      </c>
      <c r="C337" s="9" t="inlineStr">
        <is>
          <t>NYY</t>
        </is>
      </c>
      <c r="D337" s="9" t="n">
        <v>27</v>
      </c>
      <c r="E337" s="17" t="inlineStr">
        <is>
          <t>L</t>
        </is>
      </c>
      <c r="F337" s="17" t="n"/>
      <c r="G337" s="9" t="n">
        <v>285</v>
      </c>
      <c r="H337" s="9" t="n">
        <v>1096</v>
      </c>
      <c r="I337" s="9" t="inlineStr">
        <is>
          <t>Mid-Rotation Starter (SP2-3)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</f>
        <v/>
      </c>
      <c r="AD337" s="15">
        <f>SUMPRODUCT(M337:X337,$M$6:$X$6)</f>
        <v/>
      </c>
      <c r="AE337" s="19" t="n"/>
    </row>
    <row r="338">
      <c r="A338" s="9" t="n">
        <v>624522</v>
      </c>
      <c r="B338" s="9" t="inlineStr">
        <is>
          <t>Keegan Thompson</t>
        </is>
      </c>
      <c r="C338" s="9" t="inlineStr">
        <is>
          <t>COL</t>
        </is>
      </c>
      <c r="D338" s="9" t="n">
        <v>32</v>
      </c>
      <c r="E338" s="17" t="inlineStr">
        <is>
          <t>R</t>
        </is>
      </c>
      <c r="F338" s="17" t="n"/>
      <c r="G338" s="9" t="n">
        <v>57</v>
      </c>
      <c r="H338" s="9" t="n">
        <v>794</v>
      </c>
      <c r="I338" s="9" t="inlineStr">
        <is>
          <t>Bullpen Depth Arm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</f>
        <v/>
      </c>
      <c r="AD338" s="15">
        <f>SUMPRODUCT(M338:X338,$M$6:$X$6)</f>
        <v/>
      </c>
      <c r="AE338" s="19" t="n"/>
    </row>
    <row r="339">
      <c r="A339" s="9" t="n">
        <v>592426</v>
      </c>
      <c r="B339" s="9" t="inlineStr">
        <is>
          <t>Luke Jackson</t>
        </is>
      </c>
      <c r="C339" s="9" t="inlineStr">
        <is>
          <t>SEA</t>
        </is>
      </c>
      <c r="D339" s="9" t="n">
        <v>35</v>
      </c>
      <c r="E339" s="17" t="inlineStr">
        <is>
          <t>R</t>
        </is>
      </c>
      <c r="F339" s="17" t="n"/>
      <c r="G339" s="9" t="n">
        <v>219</v>
      </c>
      <c r="H339" s="9" t="n">
        <v>597</v>
      </c>
      <c r="I339" s="9" t="inlineStr">
        <is>
          <t>Bullpen Depth Arm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</f>
        <v/>
      </c>
      <c r="AD339" s="15">
        <f>SUMPRODUCT(M339:X339,$M$6:$X$6)</f>
        <v/>
      </c>
      <c r="AE339" s="19" t="n"/>
    </row>
    <row r="340">
      <c r="A340" s="9" t="n">
        <v>608337</v>
      </c>
      <c r="B340" s="9" t="inlineStr">
        <is>
          <t>Lucas Giolito</t>
        </is>
      </c>
      <c r="C340" s="9" t="inlineStr">
        <is>
          <t>SD</t>
        </is>
      </c>
      <c r="D340" s="9" t="n">
        <v>32</v>
      </c>
      <c r="E340" s="17" t="inlineStr">
        <is>
          <t>R</t>
        </is>
      </c>
      <c r="F340" s="17" t="n"/>
      <c r="G340" s="9" t="n">
        <v>95</v>
      </c>
      <c r="H340" s="9" t="n">
        <v>2200</v>
      </c>
      <c r="I340" s="9" t="inlineStr">
        <is>
          <t>Mid-Rotation Starter (SP2-3)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</f>
        <v/>
      </c>
      <c r="AD340" s="15">
        <f>SUMPRODUCT(M340:X340,$M$6:$X$6)</f>
        <v/>
      </c>
      <c r="AE340" s="19" t="n"/>
    </row>
    <row r="341">
      <c r="A341" s="9" t="n">
        <v>679883</v>
      </c>
      <c r="B341" s="9" t="inlineStr">
        <is>
          <t>Luinder Avila</t>
        </is>
      </c>
      <c r="C341" s="9" t="inlineStr">
        <is>
          <t>KC</t>
        </is>
      </c>
      <c r="D341" s="9" t="n">
        <v>25</v>
      </c>
      <c r="E341" s="17" t="inlineStr">
        <is>
          <t>R</t>
        </is>
      </c>
      <c r="F341" s="17" t="n"/>
      <c r="G341" s="9" t="n">
        <v>134</v>
      </c>
      <c r="H341" s="9" t="n">
        <v>190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</f>
        <v/>
      </c>
      <c r="AD341" s="15">
        <f>SUMPRODUCT(M341:X341,$M$6:$X$6)</f>
        <v/>
      </c>
      <c r="AE341" s="19" t="n"/>
    </row>
    <row r="342">
      <c r="A342" s="9" t="n">
        <v>683004</v>
      </c>
      <c r="B342" s="9" t="inlineStr">
        <is>
          <t>Jack Leiter</t>
        </is>
      </c>
      <c r="C342" s="9" t="inlineStr">
        <is>
          <t>TEX</t>
        </is>
      </c>
      <c r="D342" s="9" t="n">
        <v>27</v>
      </c>
      <c r="E342" s="17" t="inlineStr">
        <is>
          <t>R</t>
        </is>
      </c>
      <c r="F342" s="17" t="n"/>
      <c r="G342" s="9" t="n">
        <v>310</v>
      </c>
      <c r="H342" s="9" t="n">
        <v>1129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</f>
        <v/>
      </c>
      <c r="AD342" s="15">
        <f>SUMPRODUCT(M342:X342,$M$6:$X$6)</f>
        <v/>
      </c>
      <c r="AE342" s="19" t="n"/>
    </row>
    <row r="343">
      <c r="A343" s="9" t="n">
        <v>667755</v>
      </c>
      <c r="B343" s="9" t="inlineStr">
        <is>
          <t>José Soriano</t>
        </is>
      </c>
      <c r="C343" s="9" t="inlineStr">
        <is>
          <t>LAA</t>
        </is>
      </c>
      <c r="D343" s="9" t="n">
        <v>28</v>
      </c>
      <c r="E343" s="17" t="inlineStr">
        <is>
          <t>R</t>
        </is>
      </c>
      <c r="F343" s="17" t="n"/>
      <c r="G343" s="9" t="n">
        <v>341</v>
      </c>
      <c r="H343" s="9" t="n">
        <v>1718</v>
      </c>
      <c r="I343" s="9" t="inlineStr">
        <is>
          <t>Mid-Rotation Starter (SP2-3)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</f>
        <v/>
      </c>
      <c r="AD343" s="15">
        <f>SUMPRODUCT(M343:X343,$M$6:$X$6)</f>
        <v/>
      </c>
      <c r="AE343" s="19" t="n"/>
    </row>
    <row r="344">
      <c r="A344" s="9" t="n">
        <v>670183</v>
      </c>
      <c r="B344" s="9" t="inlineStr">
        <is>
          <t>Garrett Acton</t>
        </is>
      </c>
      <c r="C344" s="9" t="inlineStr">
        <is>
          <t>MIN</t>
        </is>
      </c>
      <c r="D344" s="9" t="n">
        <v>29</v>
      </c>
      <c r="E344" s="17" t="inlineStr">
        <is>
          <t>R</t>
        </is>
      </c>
      <c r="F344" s="17" t="n"/>
      <c r="G344" s="9" t="n">
        <v>28</v>
      </c>
      <c r="H344" s="9" t="n">
        <v>65</v>
      </c>
      <c r="I344" s="9" t="inlineStr">
        <is>
          <t>Bullpen Depth Arm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</f>
        <v/>
      </c>
      <c r="AD344" s="15">
        <f>SUMPRODUCT(M344:X344,$M$6:$X$6)</f>
        <v/>
      </c>
      <c r="AE344" s="19" t="n"/>
    </row>
    <row r="345">
      <c r="A345" s="9" t="n">
        <v>628317</v>
      </c>
      <c r="B345" s="9" t="inlineStr">
        <is>
          <t>Kenta Maeda</t>
        </is>
      </c>
      <c r="C345" s="9" t="inlineStr">
        <is>
          <t>DET</t>
        </is>
      </c>
      <c r="D345" s="9" t="n">
        <v>39</v>
      </c>
      <c r="E345" s="17" t="inlineStr">
        <is>
          <t>R</t>
        </is>
      </c>
      <c r="F345" s="17" t="n"/>
      <c r="G345" s="9" t="n">
        <v>43</v>
      </c>
      <c r="H345" s="9" t="n">
        <v>956</v>
      </c>
      <c r="I345" s="9" t="inlineStr">
        <is>
          <t>End-of-Rotation Starter (SP4-5)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</f>
        <v/>
      </c>
      <c r="AD345" s="15">
        <f>SUMPRODUCT(M345:X345,$M$6:$X$6)</f>
        <v/>
      </c>
      <c r="AE345" s="19" t="n"/>
    </row>
    <row r="346">
      <c r="A346" s="9" t="n">
        <v>593833</v>
      </c>
      <c r="B346" s="9" t="inlineStr">
        <is>
          <t>Wander Suero</t>
        </is>
      </c>
      <c r="C346" s="9" t="inlineStr">
        <is>
          <t>ATL</t>
        </is>
      </c>
      <c r="D346" s="9" t="n">
        <v>35</v>
      </c>
      <c r="E346" s="17" t="inlineStr">
        <is>
          <t>R</t>
        </is>
      </c>
      <c r="F346" s="17" t="n"/>
      <c r="G346" s="9" t="n">
        <v>32</v>
      </c>
      <c r="H346" s="9" t="n">
        <v>68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</f>
        <v/>
      </c>
      <c r="AD346" s="15">
        <f>SUMPRODUCT(M346:X346,$M$6:$X$6)</f>
        <v/>
      </c>
      <c r="AE346" s="19" t="n"/>
    </row>
    <row r="347">
      <c r="A347" s="9" t="n">
        <v>680802</v>
      </c>
      <c r="B347" s="9" t="inlineStr">
        <is>
          <t>Ryan Weiss</t>
        </is>
      </c>
      <c r="C347" s="9" t="inlineStr">
        <is>
          <t>HOU</t>
        </is>
      </c>
      <c r="D347" s="9" t="n">
        <v>30</v>
      </c>
      <c r="E347" s="17" t="inlineStr">
        <is>
          <t>R</t>
        </is>
      </c>
      <c r="F347" s="17" t="n"/>
      <c r="G347" s="9" t="n">
        <v>131</v>
      </c>
      <c r="H347" s="9" t="n">
        <v>131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</f>
        <v/>
      </c>
      <c r="AD347" s="15">
        <f>SUMPRODUCT(M347:X347,$M$6:$X$6)</f>
        <v/>
      </c>
      <c r="AE347" s="19" t="n"/>
    </row>
    <row r="348">
      <c r="A348" s="9" t="n">
        <v>666974</v>
      </c>
      <c r="B348" s="9" t="inlineStr">
        <is>
          <t>Yennier Cano</t>
        </is>
      </c>
      <c r="C348" s="9" t="inlineStr">
        <is>
          <t>BAL</t>
        </is>
      </c>
      <c r="D348" s="9" t="n">
        <v>33</v>
      </c>
      <c r="E348" s="17" t="inlineStr">
        <is>
          <t>R</t>
        </is>
      </c>
      <c r="F348" s="17" t="n"/>
      <c r="G348" s="9" t="n">
        <v>81</v>
      </c>
      <c r="H348" s="9" t="n">
        <v>961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</f>
        <v/>
      </c>
      <c r="AD348" s="15">
        <f>SUMPRODUCT(M348:X348,$M$6:$X$6)</f>
        <v/>
      </c>
      <c r="AE348" s="19" t="n"/>
    </row>
    <row r="349">
      <c r="A349" s="9" t="n">
        <v>695380</v>
      </c>
      <c r="B349" s="9" t="inlineStr">
        <is>
          <t>Alex Hoppe</t>
        </is>
      </c>
      <c r="C349" s="9" t="inlineStr">
        <is>
          <t>SEA</t>
        </is>
      </c>
      <c r="D349" s="9" t="n">
        <v>28</v>
      </c>
      <c r="E349" s="17" t="inlineStr">
        <is>
          <t>R</t>
        </is>
      </c>
      <c r="F349" s="17" t="n"/>
      <c r="G349" s="9" t="n">
        <v>74</v>
      </c>
      <c r="H349" s="9" t="n">
        <v>74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</f>
        <v/>
      </c>
      <c r="AD349" s="15">
        <f>SUMPRODUCT(M349:X349,$M$6:$X$6)</f>
        <v/>
      </c>
      <c r="AE349" s="19" t="n"/>
    </row>
    <row r="350">
      <c r="A350" s="9" t="n">
        <v>664875</v>
      </c>
      <c r="B350" s="9" t="inlineStr">
        <is>
          <t>Justin Lawrence</t>
        </is>
      </c>
      <c r="C350" s="9" t="inlineStr">
        <is>
          <t>MIN</t>
        </is>
      </c>
      <c r="D350" s="9" t="n">
        <v>32</v>
      </c>
      <c r="E350" s="17" t="inlineStr">
        <is>
          <t>R</t>
        </is>
      </c>
      <c r="F350" s="17" t="n"/>
      <c r="G350" s="9" t="n">
        <v>126</v>
      </c>
      <c r="H350" s="9" t="n">
        <v>991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</f>
        <v/>
      </c>
      <c r="AD350" s="15">
        <f>SUMPRODUCT(M350:X350,$M$6:$X$6)</f>
        <v/>
      </c>
      <c r="AE350" s="19" t="n"/>
    </row>
    <row r="351">
      <c r="A351" s="9" t="n">
        <v>518489</v>
      </c>
      <c r="B351" s="9" t="inlineStr">
        <is>
          <t>Ryan Brasier</t>
        </is>
      </c>
      <c r="C351" s="9" t="inlineStr">
        <is>
          <t>CHC</t>
        </is>
      </c>
      <c r="D351" s="9" t="n">
        <v>39</v>
      </c>
      <c r="E351" s="17" t="inlineStr">
        <is>
          <t>R</t>
        </is>
      </c>
      <c r="F351" s="17" t="n"/>
      <c r="G351" s="9" t="n">
        <v>105</v>
      </c>
      <c r="H351" s="9" t="n">
        <v>716</v>
      </c>
      <c r="I351" s="9" t="inlineStr">
        <is>
          <t>Late Inning RP (Setup)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</f>
        <v/>
      </c>
      <c r="AD351" s="15">
        <f>SUMPRODUCT(M351:X351,$M$6:$X$6)</f>
        <v/>
      </c>
      <c r="AE351" s="19" t="n"/>
    </row>
    <row r="352">
      <c r="A352" s="9" t="n">
        <v>608650</v>
      </c>
      <c r="B352" s="9" t="inlineStr">
        <is>
          <t>Dietrich Enns</t>
        </is>
      </c>
      <c r="C352" s="9" t="inlineStr">
        <is>
          <t>BAL</t>
        </is>
      </c>
      <c r="D352" s="9" t="n">
        <v>36</v>
      </c>
      <c r="E352" s="17" t="inlineStr">
        <is>
          <t>L</t>
        </is>
      </c>
      <c r="F352" s="17" t="n"/>
      <c r="G352" s="9" t="n">
        <v>70</v>
      </c>
      <c r="H352" s="9" t="n">
        <v>270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</f>
        <v/>
      </c>
      <c r="AD352" s="15">
        <f>SUMPRODUCT(M352:X352,$M$6:$X$6)</f>
        <v/>
      </c>
      <c r="AE352" s="19" t="n"/>
    </row>
    <row r="353">
      <c r="A353" s="9" t="n">
        <v>682243</v>
      </c>
      <c r="B353" s="9" t="inlineStr">
        <is>
          <t>Bryce Miller</t>
        </is>
      </c>
      <c r="C353" s="9" t="inlineStr">
        <is>
          <t>SEA</t>
        </is>
      </c>
      <c r="D353" s="9" t="n">
        <v>28</v>
      </c>
      <c r="E353" s="17" t="inlineStr">
        <is>
          <t>R</t>
        </is>
      </c>
      <c r="F353" s="17" t="n"/>
      <c r="G353" s="9" t="n">
        <v>99</v>
      </c>
      <c r="H353" s="9" t="n">
        <v>1732</v>
      </c>
      <c r="I353" s="9" t="inlineStr">
        <is>
          <t>Mid-Rotation Starter (SP2-3)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</f>
        <v/>
      </c>
      <c r="AD353" s="15">
        <f>SUMPRODUCT(M353:X353,$M$6:$X$6)</f>
        <v/>
      </c>
      <c r="AE353" s="19" t="n"/>
    </row>
    <row r="354">
      <c r="A354" s="9" t="n">
        <v>696070</v>
      </c>
      <c r="B354" s="9" t="inlineStr">
        <is>
          <t>Kendry Rojas</t>
        </is>
      </c>
      <c r="C354" s="9" t="inlineStr">
        <is>
          <t>MIN</t>
        </is>
      </c>
      <c r="D354" s="9" t="n">
        <v>24</v>
      </c>
      <c r="E354" s="17" t="inlineStr">
        <is>
          <t>L</t>
        </is>
      </c>
      <c r="F354" s="17" t="n"/>
      <c r="G354" s="9" t="n">
        <v>61</v>
      </c>
      <c r="H354" s="9" t="n">
        <v>61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</f>
        <v/>
      </c>
      <c r="AD354" s="15">
        <f>SUMPRODUCT(M354:X354,$M$6:$X$6)</f>
        <v/>
      </c>
      <c r="AE354" s="19" t="n"/>
    </row>
    <row r="355">
      <c r="A355" s="9" t="n">
        <v>702021</v>
      </c>
      <c r="B355" s="9" t="inlineStr">
        <is>
          <t>Will Dion</t>
        </is>
      </c>
      <c r="C355" s="9" t="inlineStr">
        <is>
          <t>CLE</t>
        </is>
      </c>
      <c r="D355" s="9" t="n">
        <v>27</v>
      </c>
      <c r="E355" s="17" t="inlineStr">
        <is>
          <t>L</t>
        </is>
      </c>
      <c r="F355" s="17" t="n"/>
      <c r="G355" s="9" t="n">
        <v>39</v>
      </c>
      <c r="H355" s="9" t="n">
        <v>39</v>
      </c>
      <c r="I355" s="9" t="inlineStr">
        <is>
          <t>Middle Relief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</f>
        <v/>
      </c>
      <c r="AD355" s="15">
        <f>SUMPRODUCT(M355:X355,$M$6:$X$6)</f>
        <v/>
      </c>
      <c r="AE355" s="19" t="n"/>
    </row>
    <row r="356">
      <c r="A356" s="9" t="n">
        <v>696147</v>
      </c>
      <c r="B356" s="9" t="inlineStr">
        <is>
          <t>Sam Bachman</t>
        </is>
      </c>
      <c r="C356" s="9" t="inlineStr">
        <is>
          <t>LAA</t>
        </is>
      </c>
      <c r="D356" s="9" t="n">
        <v>27</v>
      </c>
      <c r="E356" s="17" t="inlineStr">
        <is>
          <t>R</t>
        </is>
      </c>
      <c r="F356" s="17" t="n"/>
      <c r="G356" s="9" t="n">
        <v>123</v>
      </c>
      <c r="H356" s="9" t="n">
        <v>294</v>
      </c>
      <c r="I356" s="9" t="inlineStr">
        <is>
          <t>Bullpen Depth Arm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</f>
        <v/>
      </c>
      <c r="AD356" s="15">
        <f>SUMPRODUCT(M356:X356,$M$6:$X$6)</f>
        <v/>
      </c>
      <c r="AE356" s="19" t="n"/>
    </row>
    <row r="357">
      <c r="A357" s="9" t="n">
        <v>700712</v>
      </c>
      <c r="B357" s="9" t="inlineStr">
        <is>
          <t>Walbert Ureña</t>
        </is>
      </c>
      <c r="C357" s="9" t="inlineStr">
        <is>
          <t>LAA</t>
        </is>
      </c>
      <c r="D357" s="9" t="n">
        <v>23</v>
      </c>
      <c r="E357" s="17" t="inlineStr">
        <is>
          <t>R</t>
        </is>
      </c>
      <c r="F357" s="17" t="n"/>
      <c r="G357" s="9" t="n">
        <v>242</v>
      </c>
      <c r="H357" s="9" t="n">
        <v>242</v>
      </c>
      <c r="I357" s="9" t="inlineStr">
        <is>
          <t>End-of-Rotation Starter (SP4-5)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</f>
        <v/>
      </c>
      <c r="AD357" s="15">
        <f>SUMPRODUCT(M357:X357,$M$6:$X$6)</f>
        <v/>
      </c>
      <c r="AE357" s="19" t="n"/>
    </row>
    <row r="358">
      <c r="A358" s="9" t="n">
        <v>657277</v>
      </c>
      <c r="B358" s="9" t="inlineStr">
        <is>
          <t>Logan Webb</t>
        </is>
      </c>
      <c r="C358" s="9" t="inlineStr">
        <is>
          <t>SF</t>
        </is>
      </c>
      <c r="D358" s="9" t="n">
        <v>30</v>
      </c>
      <c r="E358" s="17" t="inlineStr">
        <is>
          <t>R</t>
        </is>
      </c>
      <c r="F358" s="17" t="n"/>
      <c r="G358" s="9" t="n">
        <v>278</v>
      </c>
      <c r="H358" s="9" t="n">
        <v>3612</v>
      </c>
      <c r="I358" s="9" t="inlineStr">
        <is>
          <t>Ace (SP1)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</f>
        <v/>
      </c>
      <c r="AD358" s="15">
        <f>SUMPRODUCT(M358:X358,$M$6:$X$6)</f>
        <v/>
      </c>
      <c r="AE358" s="19" t="n"/>
    </row>
    <row r="359">
      <c r="A359" s="9" t="n">
        <v>663878</v>
      </c>
      <c r="B359" s="9" t="inlineStr">
        <is>
          <t>Nate Pearson</t>
        </is>
      </c>
      <c r="C359" s="9" t="inlineStr">
        <is>
          <t>HOU</t>
        </is>
      </c>
      <c r="D359" s="9" t="n">
        <v>30</v>
      </c>
      <c r="E359" s="17" t="inlineStr">
        <is>
          <t>R</t>
        </is>
      </c>
      <c r="F359" s="17" t="n"/>
      <c r="G359" s="9" t="n">
        <v>28</v>
      </c>
      <c r="H359" s="9" t="n">
        <v>570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</f>
        <v/>
      </c>
      <c r="AD359" s="15">
        <f>SUMPRODUCT(M359:X359,$M$6:$X$6)</f>
        <v/>
      </c>
      <c r="AE359" s="19" t="n"/>
    </row>
    <row r="360">
      <c r="A360" s="9" t="n">
        <v>656641</v>
      </c>
      <c r="B360" s="9" t="inlineStr">
        <is>
          <t>Jacob Latz</t>
        </is>
      </c>
      <c r="C360" s="9" t="inlineStr">
        <is>
          <t>TEX</t>
        </is>
      </c>
      <c r="D360" s="9" t="n">
        <v>31</v>
      </c>
      <c r="E360" s="17" t="inlineStr">
        <is>
          <t>L</t>
        </is>
      </c>
      <c r="F360" s="17" t="n"/>
      <c r="G360" s="9" t="n">
        <v>106</v>
      </c>
      <c r="H360" s="9" t="n">
        <v>668</v>
      </c>
      <c r="I360" s="9" t="inlineStr">
        <is>
          <t>Middle Relief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</f>
        <v/>
      </c>
      <c r="AD360" s="15">
        <f>SUMPRODUCT(M360:X360,$M$6:$X$6)</f>
        <v/>
      </c>
      <c r="AE360" s="19" t="n"/>
    </row>
    <row r="361">
      <c r="A361" s="9" t="n">
        <v>656492</v>
      </c>
      <c r="B361" s="9" t="inlineStr">
        <is>
          <t>Foster Griffin</t>
        </is>
      </c>
      <c r="C361" s="9" t="inlineStr">
        <is>
          <t>WSH</t>
        </is>
      </c>
      <c r="D361" s="9" t="n">
        <v>31</v>
      </c>
      <c r="E361" s="17" t="inlineStr">
        <is>
          <t>L</t>
        </is>
      </c>
      <c r="F361" s="17" t="n"/>
      <c r="G361" s="9" t="n">
        <v>297</v>
      </c>
      <c r="H361" s="9" t="n">
        <v>329</v>
      </c>
      <c r="I361" s="9" t="inlineStr">
        <is>
          <t>Mid-Rotation Starter (SP2-3)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</f>
        <v/>
      </c>
      <c r="AD361" s="15">
        <f>SUMPRODUCT(M361:X361,$M$6:$X$6)</f>
        <v/>
      </c>
      <c r="AE361" s="19" t="n"/>
    </row>
    <row r="362">
      <c r="A362" s="9" t="n">
        <v>688883</v>
      </c>
      <c r="B362" s="9" t="inlineStr">
        <is>
          <t>Peyton Pallette</t>
        </is>
      </c>
      <c r="C362" s="9" t="inlineStr">
        <is>
          <t>CLE</t>
        </is>
      </c>
      <c r="D362" s="9" t="n">
        <v>26</v>
      </c>
      <c r="E362" s="17" t="inlineStr">
        <is>
          <t>R</t>
        </is>
      </c>
      <c r="F362" s="17" t="n"/>
      <c r="G362" s="9" t="n">
        <v>97</v>
      </c>
      <c r="H362" s="9" t="n">
        <v>97</v>
      </c>
      <c r="I362" s="9" t="inlineStr">
        <is>
          <t>Bullpen Depth Arm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</f>
        <v/>
      </c>
      <c r="AD362" s="15">
        <f>SUMPRODUCT(M362:X362,$M$6:$X$6)</f>
        <v/>
      </c>
      <c r="AE362" s="19" t="n"/>
    </row>
    <row r="363">
      <c r="A363" s="9" t="n">
        <v>656848</v>
      </c>
      <c r="B363" s="9" t="inlineStr">
        <is>
          <t>Michael Petersen</t>
        </is>
      </c>
      <c r="C363" s="9" t="inlineStr">
        <is>
          <t>MIA</t>
        </is>
      </c>
      <c r="D363" s="9" t="n">
        <v>33</v>
      </c>
      <c r="E363" s="17" t="inlineStr">
        <is>
          <t>R</t>
        </is>
      </c>
      <c r="F363" s="17" t="n"/>
      <c r="G363" s="9" t="n">
        <v>109</v>
      </c>
      <c r="H363" s="9" t="n">
        <v>278</v>
      </c>
      <c r="I363" s="9" t="inlineStr">
        <is>
          <t>Bullpen Depth Arm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</f>
        <v/>
      </c>
      <c r="AD363" s="15">
        <f>SUMPRODUCT(M363:X363,$M$6:$X$6)</f>
        <v/>
      </c>
      <c r="AE363" s="19" t="n"/>
    </row>
    <row r="364">
      <c r="A364" s="9" t="n">
        <v>686701</v>
      </c>
      <c r="B364" s="9" t="inlineStr">
        <is>
          <t>Ryan Bergert</t>
        </is>
      </c>
      <c r="C364" s="9" t="inlineStr">
        <is>
          <t>KC</t>
        </is>
      </c>
      <c r="D364" s="9" t="n">
        <v>27</v>
      </c>
      <c r="E364" s="17" t="inlineStr">
        <is>
          <t>R</t>
        </is>
      </c>
      <c r="F364" s="17" t="n"/>
      <c r="G364" s="9" t="n">
        <v>323</v>
      </c>
      <c r="H364" s="9" t="n">
        <v>323</v>
      </c>
      <c r="I364" s="9" t="inlineStr">
        <is>
          <t>End-of-Rotation Starter (SP4-5)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</f>
        <v/>
      </c>
      <c r="AD364" s="15">
        <f>SUMPRODUCT(M364:X364,$M$6:$X$6)</f>
        <v/>
      </c>
      <c r="AE364" s="19" t="n"/>
    </row>
    <row r="365">
      <c r="A365" s="9" t="n">
        <v>677161</v>
      </c>
      <c r="B365" s="9" t="inlineStr">
        <is>
          <t>Zack Kelly</t>
        </is>
      </c>
      <c r="C365" s="9" t="inlineStr">
        <is>
          <t>BOS</t>
        </is>
      </c>
      <c r="D365" s="9" t="n">
        <v>32</v>
      </c>
      <c r="E365" s="17" t="inlineStr">
        <is>
          <t>R</t>
        </is>
      </c>
      <c r="F365" s="17" t="n"/>
      <c r="G365" s="9" t="n">
        <v>71</v>
      </c>
      <c r="H365" s="9" t="n">
        <v>566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</f>
        <v/>
      </c>
      <c r="AD365" s="15">
        <f>SUMPRODUCT(M365:X365,$M$6:$X$6)</f>
        <v/>
      </c>
      <c r="AE365" s="19" t="n"/>
    </row>
    <row r="366">
      <c r="A366" s="9" t="n">
        <v>656686</v>
      </c>
      <c r="B366" s="9" t="inlineStr">
        <is>
          <t>Corbin Martin</t>
        </is>
      </c>
      <c r="C366" s="9" t="inlineStr">
        <is>
          <t>CHC</t>
        </is>
      </c>
      <c r="D366" s="9" t="n">
        <v>31</v>
      </c>
      <c r="E366" s="17" t="inlineStr">
        <is>
          <t>R</t>
        </is>
      </c>
      <c r="F366" s="17" t="n"/>
      <c r="G366" s="9" t="n">
        <v>25</v>
      </c>
      <c r="H366" s="9" t="n">
        <v>215</v>
      </c>
      <c r="I366" s="9" t="inlineStr">
        <is>
          <t>Bullpen Depth Arm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</f>
        <v/>
      </c>
      <c r="AD366" s="15">
        <f>SUMPRODUCT(M366:X366,$M$6:$X$6)</f>
        <v/>
      </c>
      <c r="AE366" s="19" t="n"/>
    </row>
    <row r="367">
      <c r="A367" s="9" t="n">
        <v>691945</v>
      </c>
      <c r="B367" s="9" t="inlineStr">
        <is>
          <t>Carter Baumler</t>
        </is>
      </c>
      <c r="C367" s="9" t="inlineStr">
        <is>
          <t>TEX</t>
        </is>
      </c>
      <c r="D367" s="9" t="n">
        <v>25</v>
      </c>
      <c r="E367" s="17" t="inlineStr">
        <is>
          <t>R</t>
        </is>
      </c>
      <c r="F367" s="17" t="n"/>
      <c r="G367" s="9" t="n">
        <v>27</v>
      </c>
      <c r="H367" s="9" t="n">
        <v>27</v>
      </c>
      <c r="I367" s="9" t="inlineStr">
        <is>
          <t>Bullpen Depth Arm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</f>
        <v/>
      </c>
      <c r="AD367" s="15">
        <f>SUMPRODUCT(M367:X367,$M$6:$X$6)</f>
        <v/>
      </c>
      <c r="AE367" s="19" t="n"/>
    </row>
    <row r="368">
      <c r="A368" s="9" t="n">
        <v>664123</v>
      </c>
      <c r="B368" s="9" t="inlineStr">
        <is>
          <t>Scott Effross</t>
        </is>
      </c>
      <c r="C368" s="9" t="inlineStr">
        <is>
          <t>NYY</t>
        </is>
      </c>
      <c r="D368" s="9" t="n">
        <v>33</v>
      </c>
      <c r="E368" s="17" t="inlineStr">
        <is>
          <t>R</t>
        </is>
      </c>
      <c r="F368" s="17" t="n"/>
      <c r="G368" s="9" t="n">
        <v>51</v>
      </c>
      <c r="H368" s="9" t="n">
        <v>294</v>
      </c>
      <c r="I368" s="9" t="inlineStr">
        <is>
          <t>Middle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</f>
        <v/>
      </c>
      <c r="AD368" s="15">
        <f>SUMPRODUCT(M368:X368,$M$6:$X$6)</f>
        <v/>
      </c>
      <c r="AE368" s="19" t="n"/>
    </row>
    <row r="369">
      <c r="A369" s="9" t="n">
        <v>607455</v>
      </c>
      <c r="B369" s="9" t="inlineStr">
        <is>
          <t>Anthony Banda</t>
        </is>
      </c>
      <c r="C369" s="9" t="inlineStr">
        <is>
          <t>MIN</t>
        </is>
      </c>
      <c r="D369" s="9" t="n">
        <v>33</v>
      </c>
      <c r="E369" s="17" t="inlineStr">
        <is>
          <t>L</t>
        </is>
      </c>
      <c r="F369" s="17" t="n"/>
      <c r="G369" s="9" t="n">
        <v>122</v>
      </c>
      <c r="H369" s="9" t="n">
        <v>769</v>
      </c>
      <c r="I369" s="9" t="inlineStr">
        <is>
          <t>Late Inning RP (Setup)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</f>
        <v/>
      </c>
      <c r="AD369" s="15">
        <f>SUMPRODUCT(M369:X369,$M$6:$X$6)</f>
        <v/>
      </c>
      <c r="AE369" s="19" t="n"/>
    </row>
    <row r="370">
      <c r="A370" s="9" t="n">
        <v>614179</v>
      </c>
      <c r="B370" s="9" t="inlineStr">
        <is>
          <t>José Ruiz</t>
        </is>
      </c>
      <c r="C370" s="9" t="inlineStr">
        <is>
          <t>ATL</t>
        </is>
      </c>
      <c r="D370" s="9" t="n">
        <v>32</v>
      </c>
      <c r="E370" s="17" t="inlineStr">
        <is>
          <t>R</t>
        </is>
      </c>
      <c r="F370" s="17" t="n"/>
      <c r="G370" s="9" t="n">
        <v>79</v>
      </c>
      <c r="H370" s="9" t="n">
        <v>768</v>
      </c>
      <c r="I370" s="9" t="inlineStr">
        <is>
          <t>Bullpen Depth Arm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</f>
        <v/>
      </c>
      <c r="AD370" s="15">
        <f>SUMPRODUCT(M370:X370,$M$6:$X$6)</f>
        <v/>
      </c>
      <c r="AE370" s="19" t="n"/>
    </row>
    <row r="371">
      <c r="A371" s="9" t="n">
        <v>605218</v>
      </c>
      <c r="B371" s="9" t="inlineStr">
        <is>
          <t>Carl Edwards Jr.</t>
        </is>
      </c>
      <c r="C371" s="9" t="inlineStr">
        <is>
          <t>NYM</t>
        </is>
      </c>
      <c r="D371" s="9" t="n">
        <v>35</v>
      </c>
      <c r="E371" s="17" t="inlineStr">
        <is>
          <t>R</t>
        </is>
      </c>
      <c r="F371" s="17" t="n"/>
      <c r="G371" s="9" t="n">
        <v>25</v>
      </c>
      <c r="H371" s="9" t="n">
        <v>450</v>
      </c>
      <c r="I371" s="9" t="inlineStr">
        <is>
          <t>Bullpen Depth Arm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</f>
        <v/>
      </c>
      <c r="AD371" s="15">
        <f>SUMPRODUCT(M371:X371,$M$6:$X$6)</f>
        <v/>
      </c>
      <c r="AE371" s="19" t="n"/>
    </row>
    <row r="372">
      <c r="A372" s="9" t="n">
        <v>676272</v>
      </c>
      <c r="B372" s="9" t="inlineStr">
        <is>
          <t>Bobby Miller</t>
        </is>
      </c>
      <c r="C372" s="9" t="inlineStr">
        <is>
          <t>LAD</t>
        </is>
      </c>
      <c r="D372" s="9" t="n">
        <v>28</v>
      </c>
      <c r="E372" s="17" t="inlineStr">
        <is>
          <t>R</t>
        </is>
      </c>
      <c r="F372" s="17" t="n"/>
      <c r="G372" s="9" t="n">
        <v>28</v>
      </c>
      <c r="H372" s="9" t="n">
        <v>791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</f>
        <v/>
      </c>
      <c r="AD372" s="15">
        <f>SUMPRODUCT(M372:X372,$M$6:$X$6)</f>
        <v/>
      </c>
      <c r="AE372" s="19" t="n"/>
    </row>
    <row r="373">
      <c r="A373" s="9" t="n">
        <v>642121</v>
      </c>
      <c r="B373" s="9" t="inlineStr">
        <is>
          <t>Cole Sulser</t>
        </is>
      </c>
      <c r="C373" s="9" t="inlineStr">
        <is>
          <t>TB</t>
        </is>
      </c>
      <c r="D373" s="9" t="n">
        <v>37</v>
      </c>
      <c r="E373" s="17" t="inlineStr">
        <is>
          <t>R</t>
        </is>
      </c>
      <c r="F373" s="17" t="n"/>
      <c r="G373" s="9" t="n">
        <v>114</v>
      </c>
      <c r="H373" s="9" t="n">
        <v>442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</f>
        <v/>
      </c>
      <c r="AD373" s="15">
        <f>SUMPRODUCT(M373:X373,$M$6:$X$6)</f>
        <v/>
      </c>
      <c r="AE373" s="19" t="n"/>
    </row>
    <row r="374">
      <c r="A374" s="9" t="n">
        <v>624133</v>
      </c>
      <c r="B374" s="9" t="inlineStr">
        <is>
          <t>Ranger Suarez</t>
        </is>
      </c>
      <c r="C374" s="9" t="inlineStr">
        <is>
          <t>BOS</t>
        </is>
      </c>
      <c r="D374" s="9" t="n">
        <v>31</v>
      </c>
      <c r="E374" s="17" t="inlineStr">
        <is>
          <t>L</t>
        </is>
      </c>
      <c r="F374" s="17" t="n"/>
      <c r="G374" s="9" t="n">
        <v>263</v>
      </c>
      <c r="H374" s="9" t="n">
        <v>2742</v>
      </c>
      <c r="I374" s="9" t="inlineStr">
        <is>
          <t>Mid-Rotation Starter (SP2-3)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</f>
        <v/>
      </c>
      <c r="AD374" s="15">
        <f>SUMPRODUCT(M374:X374,$M$6:$X$6)</f>
        <v/>
      </c>
      <c r="AE374" s="19" t="n"/>
    </row>
    <row r="375">
      <c r="A375" s="9" t="n">
        <v>656849</v>
      </c>
      <c r="B375" s="9" t="inlineStr">
        <is>
          <t>David Peterson</t>
        </is>
      </c>
      <c r="C375" s="9" t="inlineStr">
        <is>
          <t>NYM</t>
        </is>
      </c>
      <c r="D375" s="9" t="n">
        <v>31</v>
      </c>
      <c r="E375" s="17" t="inlineStr">
        <is>
          <t>L</t>
        </is>
      </c>
      <c r="F375" s="17" t="n"/>
      <c r="G375" s="9" t="n">
        <v>266</v>
      </c>
      <c r="H375" s="9" t="n">
        <v>2445</v>
      </c>
      <c r="I375" s="9" t="inlineStr">
        <is>
          <t>Mid-Rotation Starter (SP2-3)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</f>
        <v/>
      </c>
      <c r="AD375" s="15">
        <f>SUMPRODUCT(M375:X375,$M$6:$X$6)</f>
        <v/>
      </c>
      <c r="AE375" s="19" t="n"/>
    </row>
    <row r="376">
      <c r="A376" s="9" t="n">
        <v>641927</v>
      </c>
      <c r="B376" s="9" t="inlineStr">
        <is>
          <t>Bailey Ober</t>
        </is>
      </c>
      <c r="C376" s="9" t="inlineStr">
        <is>
          <t>MIN</t>
        </is>
      </c>
      <c r="D376" s="9" t="n">
        <v>31</v>
      </c>
      <c r="E376" s="17" t="inlineStr">
        <is>
          <t>R</t>
        </is>
      </c>
      <c r="F376" s="17" t="n"/>
      <c r="G376" s="9" t="n">
        <v>281</v>
      </c>
      <c r="H376" s="9" t="n">
        <v>2418</v>
      </c>
      <c r="I376" s="9" t="inlineStr">
        <is>
          <t>Mid-Rotation Starter (SP2-3)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</f>
        <v/>
      </c>
      <c r="AD376" s="15">
        <f>SUMPRODUCT(M376:X376,$M$6:$X$6)</f>
        <v/>
      </c>
      <c r="AE376" s="19" t="n"/>
    </row>
    <row r="377">
      <c r="A377" s="9" t="n">
        <v>641816</v>
      </c>
      <c r="B377" s="9" t="inlineStr">
        <is>
          <t>Tyler Mahle</t>
        </is>
      </c>
      <c r="C377" s="9" t="inlineStr">
        <is>
          <t>SF</t>
        </is>
      </c>
      <c r="D377" s="9" t="n">
        <v>32</v>
      </c>
      <c r="E377" s="17" t="inlineStr">
        <is>
          <t>R</t>
        </is>
      </c>
      <c r="F377" s="17" t="n"/>
      <c r="G377" s="9" t="n">
        <v>249</v>
      </c>
      <c r="H377" s="9" t="n">
        <v>1256</v>
      </c>
      <c r="I377" s="9" t="inlineStr">
        <is>
          <t>Mid-Rotation Starter (SP2-3)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</f>
        <v/>
      </c>
      <c r="AD377" s="15">
        <f>SUMPRODUCT(M377:X377,$M$6:$X$6)</f>
        <v/>
      </c>
      <c r="AE377" s="19" t="n"/>
    </row>
    <row r="378">
      <c r="A378" s="9" t="n">
        <v>686790</v>
      </c>
      <c r="B378" s="9" t="inlineStr">
        <is>
          <t>Trevor McDonald</t>
        </is>
      </c>
      <c r="C378" s="9" t="inlineStr">
        <is>
          <t>SF</t>
        </is>
      </c>
      <c r="D378" s="9" t="n">
        <v>26</v>
      </c>
      <c r="E378" s="17" t="inlineStr">
        <is>
          <t>R</t>
        </is>
      </c>
      <c r="F378" s="17" t="n"/>
      <c r="G378" s="9" t="n">
        <v>165</v>
      </c>
      <c r="H378" s="9" t="n">
        <v>235</v>
      </c>
      <c r="I378" s="9" t="inlineStr">
        <is>
          <t>Mid-Rotation Starter (SP2-3)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</f>
        <v/>
      </c>
      <c r="AD378" s="15">
        <f>SUMPRODUCT(M378:X378,$M$6:$X$6)</f>
        <v/>
      </c>
      <c r="AE378" s="19" t="n"/>
    </row>
    <row r="379">
      <c r="A379" s="9" t="n">
        <v>571760</v>
      </c>
      <c r="B379" s="9" t="inlineStr">
        <is>
          <t>Andrew Heaney</t>
        </is>
      </c>
      <c r="C379" s="9" t="inlineStr">
        <is>
          <t>LAD</t>
        </is>
      </c>
      <c r="D379" s="9" t="n">
        <v>36</v>
      </c>
      <c r="E379" s="17" t="inlineStr">
        <is>
          <t>L</t>
        </is>
      </c>
      <c r="F379" s="17" t="n"/>
      <c r="G379" s="9" t="n">
        <v>536</v>
      </c>
      <c r="H379" s="9" t="n">
        <v>2180</v>
      </c>
      <c r="I379" s="9" t="inlineStr">
        <is>
          <t>End-of-Rotation Starter (SP4-5)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</f>
        <v/>
      </c>
      <c r="AD379" s="15">
        <f>SUMPRODUCT(M379:X379,$M$6:$X$6)</f>
        <v/>
      </c>
      <c r="AE379" s="19" t="n"/>
    </row>
    <row r="380">
      <c r="A380" s="9" t="n">
        <v>660761</v>
      </c>
      <c r="B380" s="9" t="inlineStr">
        <is>
          <t>José Suarez</t>
        </is>
      </c>
      <c r="C380" s="9" t="inlineStr">
        <is>
          <t>OAK</t>
        </is>
      </c>
      <c r="D380" s="9" t="n">
        <v>29</v>
      </c>
      <c r="E380" s="17" t="inlineStr">
        <is>
          <t>L</t>
        </is>
      </c>
      <c r="F380" s="17" t="n"/>
      <c r="G380" s="9" t="n">
        <v>154</v>
      </c>
      <c r="H380" s="9" t="n">
        <v>1102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</f>
        <v/>
      </c>
      <c r="AD380" s="15">
        <f>SUMPRODUCT(M380:X380,$M$6:$X$6)</f>
        <v/>
      </c>
      <c r="AE380" s="19" t="n"/>
    </row>
    <row r="381">
      <c r="A381" s="9" t="n">
        <v>676428</v>
      </c>
      <c r="B381" s="9" t="inlineStr">
        <is>
          <t>Brant Hurter</t>
        </is>
      </c>
      <c r="C381" s="9" t="inlineStr">
        <is>
          <t>DET</t>
        </is>
      </c>
      <c r="D381" s="9" t="n">
        <v>28</v>
      </c>
      <c r="E381" s="17" t="inlineStr">
        <is>
          <t>L</t>
        </is>
      </c>
      <c r="F381" s="17" t="n"/>
      <c r="G381" s="9" t="n">
        <v>101</v>
      </c>
      <c r="H381" s="9" t="n">
        <v>553</v>
      </c>
      <c r="I381" s="9" t="inlineStr">
        <is>
          <t>Middle Relief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</f>
        <v/>
      </c>
      <c r="AD381" s="15">
        <f>SUMPRODUCT(M381:X381,$M$6:$X$6)</f>
        <v/>
      </c>
      <c r="AE381" s="19" t="n"/>
    </row>
    <row r="382">
      <c r="A382" s="9" t="n">
        <v>700187</v>
      </c>
      <c r="B382" s="9" t="inlineStr">
        <is>
          <t>Troy Taylor</t>
        </is>
      </c>
      <c r="C382" s="9" t="inlineStr">
        <is>
          <t>SEA</t>
        </is>
      </c>
      <c r="D382" s="9" t="n">
        <v>25</v>
      </c>
      <c r="E382" s="17" t="inlineStr">
        <is>
          <t>R</t>
        </is>
      </c>
      <c r="F382" s="17" t="n"/>
      <c r="G382" s="9" t="n">
        <v>37</v>
      </c>
      <c r="H382" s="9" t="n">
        <v>118</v>
      </c>
      <c r="I382" s="9" t="inlineStr">
        <is>
          <t>Middle Relief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</f>
        <v/>
      </c>
      <c r="AD382" s="15">
        <f>SUMPRODUCT(M382:X382,$M$6:$X$6)</f>
        <v/>
      </c>
      <c r="AE382" s="19" t="n"/>
    </row>
    <row r="383">
      <c r="A383" s="9" t="n">
        <v>682052</v>
      </c>
      <c r="B383" s="9" t="inlineStr">
        <is>
          <t>Jacob Lopez</t>
        </is>
      </c>
      <c r="C383" s="9" t="inlineStr">
        <is>
          <t>OAK</t>
        </is>
      </c>
      <c r="D383" s="9" t="n">
        <v>29</v>
      </c>
      <c r="E383" s="17" t="inlineStr">
        <is>
          <t>L</t>
        </is>
      </c>
      <c r="F383" s="17" t="n"/>
      <c r="G383" s="9" t="n">
        <v>243</v>
      </c>
      <c r="H383" s="9" t="n">
        <v>742</v>
      </c>
      <c r="I383" s="9" t="inlineStr">
        <is>
          <t>End-of-Rotation Starter (SP4-5)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</f>
        <v/>
      </c>
      <c r="AD383" s="15">
        <f>SUMPRODUCT(M383:X383,$M$6:$X$6)</f>
        <v/>
      </c>
      <c r="AE383" s="19" t="n"/>
    </row>
    <row r="384">
      <c r="A384" s="9" t="n">
        <v>694462</v>
      </c>
      <c r="B384" s="9" t="inlineStr">
        <is>
          <t>Hurston Waldrep</t>
        </is>
      </c>
      <c r="C384" s="9" t="inlineStr">
        <is>
          <t>ATL</t>
        </is>
      </c>
      <c r="D384" s="9" t="n">
        <v>25</v>
      </c>
      <c r="E384" s="17" t="inlineStr">
        <is>
          <t>R</t>
        </is>
      </c>
      <c r="F384" s="17" t="n"/>
      <c r="G384" s="9" t="n">
        <v>229</v>
      </c>
      <c r="H384" s="9" t="n">
        <v>265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</f>
        <v/>
      </c>
      <c r="AD384" s="15">
        <f>SUMPRODUCT(M384:X384,$M$6:$X$6)</f>
        <v/>
      </c>
      <c r="AE384" s="19" t="n"/>
    </row>
    <row r="385">
      <c r="A385" s="9" t="n">
        <v>661563</v>
      </c>
      <c r="B385" s="9" t="inlineStr">
        <is>
          <t>Luis Gil</t>
        </is>
      </c>
      <c r="C385" s="9" t="inlineStr">
        <is>
          <t>NYY</t>
        </is>
      </c>
      <c r="D385" s="9" t="n">
        <v>29</v>
      </c>
      <c r="E385" s="17" t="inlineStr">
        <is>
          <t>R</t>
        </is>
      </c>
      <c r="F385" s="17" t="n"/>
      <c r="G385" s="9" t="n">
        <v>85</v>
      </c>
      <c r="H385" s="9" t="n">
        <v>985</v>
      </c>
      <c r="I385" s="9" t="inlineStr">
        <is>
          <t>Mid-Rotation Starter (SP2-3)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</f>
        <v/>
      </c>
      <c r="AD385" s="15">
        <f>SUMPRODUCT(M385:X385,$M$6:$X$6)</f>
        <v/>
      </c>
      <c r="AE385" s="19" t="n"/>
    </row>
    <row r="386">
      <c r="A386" s="9" t="n">
        <v>677955</v>
      </c>
      <c r="B386" s="9" t="inlineStr">
        <is>
          <t>Jaden Hill</t>
        </is>
      </c>
      <c r="C386" s="9" t="inlineStr">
        <is>
          <t>COL</t>
        </is>
      </c>
      <c r="D386" s="9" t="n">
        <v>27</v>
      </c>
      <c r="E386" s="17" t="inlineStr">
        <is>
          <t>R</t>
        </is>
      </c>
      <c r="F386" s="17" t="n"/>
      <c r="G386" s="9" t="n">
        <v>109</v>
      </c>
      <c r="H386" s="9" t="n">
        <v>283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</f>
        <v/>
      </c>
      <c r="AD386" s="15">
        <f>SUMPRODUCT(M386:X386,$M$6:$X$6)</f>
        <v/>
      </c>
      <c r="AE386" s="19" t="n"/>
    </row>
    <row r="387">
      <c r="A387" s="9" t="n">
        <v>686228</v>
      </c>
      <c r="B387" s="9" t="inlineStr">
        <is>
          <t>Juan Burgos</t>
        </is>
      </c>
      <c r="C387" s="9" t="inlineStr">
        <is>
          <t>ARI</t>
        </is>
      </c>
      <c r="D387" s="9" t="n">
        <v>27</v>
      </c>
      <c r="E387" s="17" t="inlineStr">
        <is>
          <t>R</t>
        </is>
      </c>
      <c r="F387" s="17" t="n"/>
      <c r="G387" s="9" t="n">
        <v>65</v>
      </c>
      <c r="H387" s="9" t="n">
        <v>65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</f>
        <v/>
      </c>
      <c r="AD387" s="15">
        <f>SUMPRODUCT(M387:X387,$M$6:$X$6)</f>
        <v/>
      </c>
      <c r="AE387" s="19" t="n"/>
    </row>
    <row r="388">
      <c r="A388" s="9" t="n">
        <v>687209</v>
      </c>
      <c r="B388" s="9" t="inlineStr">
        <is>
          <t>Zach Maxwell</t>
        </is>
      </c>
      <c r="C388" s="9" t="inlineStr">
        <is>
          <t>CIN</t>
        </is>
      </c>
      <c r="D388" s="9" t="n">
        <v>26</v>
      </c>
      <c r="E388" s="17" t="inlineStr">
        <is>
          <t>R</t>
        </is>
      </c>
      <c r="F388" s="17" t="n"/>
      <c r="G388" s="9" t="n">
        <v>33</v>
      </c>
      <c r="H388" s="9" t="n">
        <v>76</v>
      </c>
      <c r="I388" s="9" t="inlineStr">
        <is>
          <t>Late Inning RP (Setup)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</f>
        <v/>
      </c>
      <c r="AD388" s="15">
        <f>SUMPRODUCT(M388:X388,$M$6:$X$6)</f>
        <v/>
      </c>
      <c r="AE388" s="19" t="n"/>
    </row>
    <row r="389">
      <c r="A389" s="9" t="n">
        <v>668390</v>
      </c>
      <c r="B389" s="9" t="inlineStr">
        <is>
          <t>Cole Winn</t>
        </is>
      </c>
      <c r="C389" s="9" t="inlineStr">
        <is>
          <t>TEX</t>
        </is>
      </c>
      <c r="D389" s="9" t="n">
        <v>27</v>
      </c>
      <c r="E389" s="17" t="inlineStr">
        <is>
          <t>R</t>
        </is>
      </c>
      <c r="F389" s="17" t="n"/>
      <c r="G389" s="9" t="n">
        <v>91</v>
      </c>
      <c r="H389" s="9" t="n">
        <v>330</v>
      </c>
      <c r="I389" s="9" t="inlineStr">
        <is>
          <t>Middle Relief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</f>
        <v/>
      </c>
      <c r="AD389" s="15">
        <f>SUMPRODUCT(M389:X389,$M$6:$X$6)</f>
        <v/>
      </c>
      <c r="AE389" s="19" t="n"/>
    </row>
    <row r="390">
      <c r="A390" s="9" t="n">
        <v>685801</v>
      </c>
      <c r="B390" s="9" t="inlineStr">
        <is>
          <t>Hunter Bigge</t>
        </is>
      </c>
      <c r="C390" s="9" t="inlineStr">
        <is>
          <t>TB</t>
        </is>
      </c>
      <c r="D390" s="9" t="n">
        <v>29</v>
      </c>
      <c r="E390" s="17" t="inlineStr">
        <is>
          <t>R</t>
        </is>
      </c>
      <c r="F390" s="17" t="n"/>
      <c r="G390" s="9" t="n">
        <v>85</v>
      </c>
      <c r="H390" s="9" t="n">
        <v>218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</f>
        <v/>
      </c>
      <c r="AD390" s="15">
        <f>SUMPRODUCT(M390:X390,$M$6:$X$6)</f>
        <v/>
      </c>
      <c r="AE390" s="19" t="n"/>
    </row>
    <row r="391">
      <c r="A391" s="9" t="n">
        <v>681869</v>
      </c>
      <c r="B391" s="9" t="inlineStr">
        <is>
          <t>Shawn Dubin</t>
        </is>
      </c>
      <c r="C391" s="9" t="inlineStr">
        <is>
          <t>BAL</t>
        </is>
      </c>
      <c r="D391" s="9" t="n">
        <v>31</v>
      </c>
      <c r="E391" s="17" t="inlineStr">
        <is>
          <t>R</t>
        </is>
      </c>
      <c r="F391" s="17" t="n"/>
      <c r="G391" s="9" t="n">
        <v>145</v>
      </c>
      <c r="H391" s="9" t="n">
        <v>394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</f>
        <v/>
      </c>
      <c r="AD391" s="15">
        <f>SUMPRODUCT(M391:X391,$M$6:$X$6)</f>
        <v/>
      </c>
      <c r="AE391" s="19" t="n"/>
    </row>
    <row r="392">
      <c r="A392" s="9" t="n">
        <v>687888</v>
      </c>
      <c r="B392" s="9" t="inlineStr">
        <is>
          <t>Brandon Walter</t>
        </is>
      </c>
      <c r="C392" s="9" t="inlineStr">
        <is>
          <t>HOU</t>
        </is>
      </c>
      <c r="D392" s="9" t="n">
        <v>30</v>
      </c>
      <c r="E392" s="17" t="inlineStr">
        <is>
          <t>L</t>
        </is>
      </c>
      <c r="F392" s="17" t="n"/>
      <c r="G392" s="9" t="n">
        <v>212</v>
      </c>
      <c r="H392" s="9" t="n">
        <v>318</v>
      </c>
      <c r="I392" s="9" t="inlineStr">
        <is>
          <t>Ace (SP1)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</f>
        <v/>
      </c>
      <c r="AD392" s="15">
        <f>SUMPRODUCT(M392:X392,$M$6:$X$6)</f>
        <v/>
      </c>
      <c r="AE392" s="19" t="n"/>
    </row>
    <row r="393">
      <c r="A393" s="9" t="n">
        <v>676917</v>
      </c>
      <c r="B393" s="9" t="inlineStr">
        <is>
          <t>Cade Cavalli</t>
        </is>
      </c>
      <c r="C393" s="9" t="inlineStr">
        <is>
          <t>WSH</t>
        </is>
      </c>
      <c r="D393" s="9" t="n">
        <v>28</v>
      </c>
      <c r="E393" s="17" t="inlineStr">
        <is>
          <t>R</t>
        </is>
      </c>
      <c r="F393" s="17" t="n"/>
      <c r="G393" s="9" t="n">
        <v>313</v>
      </c>
      <c r="H393" s="9" t="n">
        <v>555</v>
      </c>
      <c r="I393" s="9" t="inlineStr">
        <is>
          <t>End-of-Rotation Starter (SP4-5)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</f>
        <v/>
      </c>
      <c r="AD393" s="15">
        <f>SUMPRODUCT(M393:X393,$M$6:$X$6)</f>
        <v/>
      </c>
      <c r="AE393" s="19" t="n"/>
    </row>
    <row r="394">
      <c r="A394" s="9" t="n">
        <v>605463</v>
      </c>
      <c r="B394" s="9" t="inlineStr">
        <is>
          <t>Tayler Scott</t>
        </is>
      </c>
      <c r="C394" s="9" t="inlineStr">
        <is>
          <t>HOU</t>
        </is>
      </c>
      <c r="D394" s="9" t="n">
        <v>35</v>
      </c>
      <c r="E394" s="17" t="inlineStr">
        <is>
          <t>R</t>
        </is>
      </c>
      <c r="F394" s="17" t="n"/>
      <c r="G394" s="9" t="n">
        <v>134</v>
      </c>
      <c r="H394" s="9" t="n">
        <v>563</v>
      </c>
      <c r="I394" s="9" t="inlineStr">
        <is>
          <t>Middle Relief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</f>
        <v/>
      </c>
      <c r="AD394" s="15">
        <f>SUMPRODUCT(M394:X394,$M$6:$X$6)</f>
        <v/>
      </c>
      <c r="AE394" s="19" t="n"/>
    </row>
    <row r="395">
      <c r="A395" s="9" t="n">
        <v>680735</v>
      </c>
      <c r="B395" s="9" t="inlineStr">
        <is>
          <t>Austin Cox</t>
        </is>
      </c>
      <c r="C395" s="9" t="inlineStr">
        <is>
          <t>ATL</t>
        </is>
      </c>
      <c r="D395" s="9" t="n">
        <v>30</v>
      </c>
      <c r="E395" s="17" t="inlineStr">
        <is>
          <t>L</t>
        </is>
      </c>
      <c r="F395" s="17" t="n"/>
      <c r="G395" s="9" t="n">
        <v>102</v>
      </c>
      <c r="H395" s="9" t="n">
        <v>251</v>
      </c>
      <c r="I395" s="9" t="inlineStr">
        <is>
          <t>Bullpen Depth Arm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</f>
        <v/>
      </c>
      <c r="AD395" s="15">
        <f>SUMPRODUCT(M395:X395,$M$6:$X$6)</f>
        <v/>
      </c>
      <c r="AE395" s="19" t="n"/>
    </row>
    <row r="396">
      <c r="A396" s="9" t="n">
        <v>668716</v>
      </c>
      <c r="B396" s="9" t="inlineStr">
        <is>
          <t>Noah Murdock</t>
        </is>
      </c>
      <c r="C396" s="9" t="inlineStr">
        <is>
          <t>OAK</t>
        </is>
      </c>
      <c r="D396" s="9" t="n">
        <v>28</v>
      </c>
      <c r="E396" s="17" t="inlineStr">
        <is>
          <t>R</t>
        </is>
      </c>
      <c r="F396" s="17" t="n"/>
      <c r="G396" s="9" t="n">
        <v>98</v>
      </c>
      <c r="H396" s="9" t="n">
        <v>98</v>
      </c>
      <c r="I396" s="9" t="inlineStr">
        <is>
          <t>Bullpen Depth Arm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</f>
        <v/>
      </c>
      <c r="AD396" s="15">
        <f>SUMPRODUCT(M396:X396,$M$6:$X$6)</f>
        <v/>
      </c>
      <c r="AE396" s="19" t="n"/>
    </row>
    <row r="397">
      <c r="A397" s="9" t="n">
        <v>695001</v>
      </c>
      <c r="B397" s="9" t="inlineStr">
        <is>
          <t>Alimber Santa</t>
        </is>
      </c>
      <c r="C397" s="9" t="inlineStr">
        <is>
          <t>HOU</t>
        </is>
      </c>
      <c r="D397" s="9" t="n">
        <v>24</v>
      </c>
      <c r="E397" s="17" t="inlineStr">
        <is>
          <t>R</t>
        </is>
      </c>
      <c r="F397" s="17" t="n"/>
      <c r="G397" s="9" t="n">
        <v>39</v>
      </c>
      <c r="H397" s="9" t="n">
        <v>39</v>
      </c>
      <c r="I397" s="9" t="inlineStr">
        <is>
          <t>Middle Relief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</f>
        <v/>
      </c>
      <c r="AD397" s="15">
        <f>SUMPRODUCT(M397:X397,$M$6:$X$6)</f>
        <v/>
      </c>
      <c r="AE397" s="19" t="n"/>
    </row>
    <row r="398">
      <c r="A398" s="9" t="n">
        <v>640448</v>
      </c>
      <c r="B398" s="9" t="inlineStr">
        <is>
          <t>Kyle Finnegan</t>
        </is>
      </c>
      <c r="C398" s="9" t="inlineStr">
        <is>
          <t>DET</t>
        </is>
      </c>
      <c r="D398" s="9" t="n">
        <v>35</v>
      </c>
      <c r="E398" s="17" t="inlineStr">
        <is>
          <t>R</t>
        </is>
      </c>
      <c r="F398" s="17" t="n"/>
      <c r="G398" s="9" t="n">
        <v>130</v>
      </c>
      <c r="H398" s="9" t="n">
        <v>1186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</f>
        <v/>
      </c>
      <c r="AD398" s="15">
        <f>SUMPRODUCT(M398:X398,$M$6:$X$6)</f>
        <v/>
      </c>
      <c r="AE398" s="19" t="n"/>
    </row>
    <row r="399">
      <c r="A399" s="9" t="n">
        <v>681810</v>
      </c>
      <c r="B399" s="9" t="inlineStr">
        <is>
          <t>Austin Warren</t>
        </is>
      </c>
      <c r="C399" s="9" t="inlineStr">
        <is>
          <t>NYM</t>
        </is>
      </c>
      <c r="D399" s="9" t="n">
        <v>31</v>
      </c>
      <c r="E399" s="17" t="inlineStr">
        <is>
          <t>R</t>
        </is>
      </c>
      <c r="F399" s="17" t="n"/>
      <c r="G399" s="9" t="n">
        <v>91</v>
      </c>
      <c r="H399" s="9" t="n">
        <v>243</v>
      </c>
      <c r="I399" s="9" t="inlineStr">
        <is>
          <t>Bullpen Depth Arm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</f>
        <v/>
      </c>
      <c r="AD399" s="15">
        <f>SUMPRODUCT(M399:X399,$M$6:$X$6)</f>
        <v/>
      </c>
      <c r="AE399" s="19" t="n"/>
    </row>
    <row r="400">
      <c r="A400" s="9" t="n">
        <v>680744</v>
      </c>
      <c r="B400" s="9" t="inlineStr">
        <is>
          <t>Ty Madden</t>
        </is>
      </c>
      <c r="C400" s="9" t="inlineStr">
        <is>
          <t>DET</t>
        </is>
      </c>
      <c r="D400" s="9" t="n">
        <v>27</v>
      </c>
      <c r="E400" s="17" t="inlineStr">
        <is>
          <t>R</t>
        </is>
      </c>
      <c r="F400" s="17" t="n"/>
      <c r="G400" s="9" t="n">
        <v>71</v>
      </c>
      <c r="H400" s="9" t="n">
        <v>172</v>
      </c>
      <c r="I400" s="9" t="inlineStr">
        <is>
          <t>End-of-Rotation Starter (SP4-5)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</f>
        <v/>
      </c>
      <c r="AD400" s="15">
        <f>SUMPRODUCT(M400:X400,$M$6:$X$6)</f>
        <v/>
      </c>
      <c r="AE400" s="19" t="n"/>
    </row>
    <row r="401">
      <c r="A401" s="9" t="n">
        <v>687075</v>
      </c>
      <c r="B401" s="9" t="inlineStr">
        <is>
          <t>Brandon Sproat</t>
        </is>
      </c>
      <c r="C401" s="9" t="inlineStr">
        <is>
          <t>MIL</t>
        </is>
      </c>
      <c r="D401" s="9" t="n">
        <v>26</v>
      </c>
      <c r="E401" s="17" t="inlineStr">
        <is>
          <t>R</t>
        </is>
      </c>
      <c r="F401" s="17" t="n"/>
      <c r="G401" s="9" t="n">
        <v>240</v>
      </c>
      <c r="H401" s="9" t="n">
        <v>324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</f>
        <v/>
      </c>
      <c r="AD401" s="15">
        <f>SUMPRODUCT(M401:X401,$M$6:$X$6)</f>
        <v/>
      </c>
      <c r="AE401" s="19" t="n"/>
    </row>
    <row r="402">
      <c r="A402" s="9" t="n">
        <v>663432</v>
      </c>
      <c r="B402" s="9" t="inlineStr">
        <is>
          <t>Tanner Rainey</t>
        </is>
      </c>
      <c r="C402" s="9" t="inlineStr">
        <is>
          <t>DET</t>
        </is>
      </c>
      <c r="D402" s="9" t="n">
        <v>34</v>
      </c>
      <c r="E402" s="17" t="inlineStr">
        <is>
          <t>R</t>
        </is>
      </c>
      <c r="F402" s="17" t="n"/>
      <c r="G402" s="9" t="n">
        <v>47</v>
      </c>
      <c r="H402" s="9" t="n">
        <v>411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</f>
        <v/>
      </c>
      <c r="AD402" s="15">
        <f>SUMPRODUCT(M402:X402,$M$6:$X$6)</f>
        <v/>
      </c>
      <c r="AE402" s="19" t="n"/>
    </row>
    <row r="403">
      <c r="A403" s="9" t="n">
        <v>593423</v>
      </c>
      <c r="B403" s="9" t="inlineStr">
        <is>
          <t>Frankie Montas</t>
        </is>
      </c>
      <c r="C403" s="9" t="inlineStr">
        <is>
          <t>NYM</t>
        </is>
      </c>
      <c r="D403" s="9" t="n">
        <v>34</v>
      </c>
      <c r="E403" s="17" t="inlineStr">
        <is>
          <t>R</t>
        </is>
      </c>
      <c r="F403" s="17" t="n"/>
      <c r="G403" s="9" t="n">
        <v>178</v>
      </c>
      <c r="H403" s="9" t="n">
        <v>1448</v>
      </c>
      <c r="I403" s="9" t="inlineStr">
        <is>
          <t>End-of-Rotation Starter (SP4-5)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</f>
        <v/>
      </c>
      <c r="AD403" s="15">
        <f>SUMPRODUCT(M403:X403,$M$6:$X$6)</f>
        <v/>
      </c>
      <c r="AE403" s="19" t="n"/>
    </row>
    <row r="404">
      <c r="A404" s="9" t="n">
        <v>663687</v>
      </c>
      <c r="B404" s="9" t="inlineStr">
        <is>
          <t>Hogan Harris</t>
        </is>
      </c>
      <c r="C404" s="9" t="inlineStr">
        <is>
          <t>OAK</t>
        </is>
      </c>
      <c r="D404" s="9" t="n">
        <v>30</v>
      </c>
      <c r="E404" s="17" t="inlineStr">
        <is>
          <t>L</t>
        </is>
      </c>
      <c r="F404" s="17" t="n"/>
      <c r="G404" s="9" t="n">
        <v>144</v>
      </c>
      <c r="H404" s="9" t="n">
        <v>1010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</f>
        <v/>
      </c>
      <c r="AD404" s="15">
        <f>SUMPRODUCT(M404:X404,$M$6:$X$6)</f>
        <v/>
      </c>
      <c r="AE404" s="19" t="n"/>
    </row>
    <row r="405">
      <c r="A405" s="9" t="n">
        <v>702193</v>
      </c>
      <c r="B405" s="9" t="inlineStr">
        <is>
          <t>Andrew Morris</t>
        </is>
      </c>
      <c r="C405" s="9" t="inlineStr">
        <is>
          <t>MIN</t>
        </is>
      </c>
      <c r="D405" s="9" t="n">
        <v>25</v>
      </c>
      <c r="E405" s="17" t="inlineStr">
        <is>
          <t>R</t>
        </is>
      </c>
      <c r="F405" s="17" t="n"/>
      <c r="G405" s="9" t="n">
        <v>130</v>
      </c>
      <c r="H405" s="9" t="n">
        <v>130</v>
      </c>
      <c r="I405" s="9" t="inlineStr">
        <is>
          <t>Closer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</f>
        <v/>
      </c>
      <c r="AD405" s="15">
        <f>SUMPRODUCT(M405:X405,$M$6:$X$6)</f>
        <v/>
      </c>
      <c r="AE405" s="19" t="n"/>
    </row>
    <row r="406">
      <c r="A406" s="9" t="n">
        <v>669711</v>
      </c>
      <c r="B406" s="9" t="inlineStr">
        <is>
          <t>Greg Weissert</t>
        </is>
      </c>
      <c r="C406" s="9" t="inlineStr">
        <is>
          <t>BOS</t>
        </is>
      </c>
      <c r="D406" s="9" t="n">
        <v>32</v>
      </c>
      <c r="E406" s="17" t="inlineStr">
        <is>
          <t>R</t>
        </is>
      </c>
      <c r="F406" s="17" t="n"/>
      <c r="G406" s="9" t="n">
        <v>111</v>
      </c>
      <c r="H406" s="9" t="n">
        <v>787</v>
      </c>
      <c r="I406" s="9" t="inlineStr">
        <is>
          <t>Middle Relief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</f>
        <v/>
      </c>
      <c r="AD406" s="15">
        <f>SUMPRODUCT(M406:X406,$M$6:$X$6)</f>
        <v/>
      </c>
      <c r="AE406" s="19" t="n"/>
    </row>
    <row r="407">
      <c r="A407" s="9" t="n">
        <v>699823</v>
      </c>
      <c r="B407" s="9" t="inlineStr">
        <is>
          <t>Tyler Davis</t>
        </is>
      </c>
      <c r="C407" s="9" t="inlineStr">
        <is>
          <t>CWS</t>
        </is>
      </c>
      <c r="D407" s="9" t="n">
        <v>28</v>
      </c>
      <c r="E407" s="17" t="inlineStr">
        <is>
          <t>R</t>
        </is>
      </c>
      <c r="F407" s="17" t="n"/>
      <c r="G407" s="9" t="n">
        <v>85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</f>
        <v/>
      </c>
      <c r="AD407" s="15">
        <f>SUMPRODUCT(M407:X407,$M$6:$X$6)</f>
        <v/>
      </c>
      <c r="AE407" s="19" t="n"/>
    </row>
    <row r="408">
      <c r="A408" s="9" t="n">
        <v>678020</v>
      </c>
      <c r="B408" s="9" t="inlineStr">
        <is>
          <t>Seth Halvorsen</t>
        </is>
      </c>
      <c r="C408" s="9" t="inlineStr">
        <is>
          <t>COL</t>
        </is>
      </c>
      <c r="D408" s="9" t="n">
        <v>27</v>
      </c>
      <c r="E408" s="17" t="inlineStr">
        <is>
          <t>R</t>
        </is>
      </c>
      <c r="F408" s="17" t="n"/>
      <c r="G408" s="9" t="n">
        <v>68</v>
      </c>
      <c r="H408" s="9" t="n">
        <v>287</v>
      </c>
      <c r="I408" s="9" t="inlineStr">
        <is>
          <t>Bullpen Depth Arm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</f>
        <v/>
      </c>
      <c r="AD408" s="15">
        <f>SUMPRODUCT(M408:X408,$M$6:$X$6)</f>
        <v/>
      </c>
      <c r="AE408" s="19" t="n"/>
    </row>
    <row r="409">
      <c r="A409" s="9" t="n">
        <v>685107</v>
      </c>
      <c r="B409" s="9" t="inlineStr">
        <is>
          <t>Anthony Veneziano</t>
        </is>
      </c>
      <c r="C409" s="9" t="inlineStr">
        <is>
          <t>STL</t>
        </is>
      </c>
      <c r="D409" s="9" t="n">
        <v>29</v>
      </c>
      <c r="E409" s="17" t="inlineStr">
        <is>
          <t>L</t>
        </is>
      </c>
      <c r="F409" s="17" t="n"/>
      <c r="G409" s="9" t="n">
        <v>117</v>
      </c>
      <c r="H409" s="9" t="n">
        <v>187</v>
      </c>
      <c r="I409" s="9" t="inlineStr">
        <is>
          <t>Middle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</f>
        <v/>
      </c>
      <c r="AD409" s="15">
        <f>SUMPRODUCT(M409:X409,$M$6:$X$6)</f>
        <v/>
      </c>
      <c r="AE409" s="19" t="n"/>
    </row>
    <row r="410">
      <c r="A410" s="9" t="n">
        <v>605488</v>
      </c>
      <c r="B410" s="9" t="inlineStr">
        <is>
          <t>Jeffrey Springs</t>
        </is>
      </c>
      <c r="C410" s="9" t="inlineStr">
        <is>
          <t>OAK</t>
        </is>
      </c>
      <c r="D410" s="9" t="n">
        <v>34</v>
      </c>
      <c r="E410" s="17" t="inlineStr">
        <is>
          <t>L</t>
        </is>
      </c>
      <c r="F410" s="17" t="n"/>
      <c r="G410" s="9" t="n">
        <v>320</v>
      </c>
      <c r="H410" s="9" t="n">
        <v>1779</v>
      </c>
      <c r="I410" s="9" t="inlineStr">
        <is>
          <t>Mid-Rotation Starter (SP2-3)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</f>
        <v/>
      </c>
      <c r="AD410" s="15">
        <f>SUMPRODUCT(M410:X410,$M$6:$X$6)</f>
        <v/>
      </c>
      <c r="AE410" s="19" t="n"/>
    </row>
    <row r="411">
      <c r="A411" s="9" t="n">
        <v>702674</v>
      </c>
      <c r="B411" s="9" t="inlineStr">
        <is>
          <t>Caden Dana</t>
        </is>
      </c>
      <c r="C411" s="9" t="inlineStr">
        <is>
          <t>LAA</t>
        </is>
      </c>
      <c r="D411" s="9" t="n">
        <v>23</v>
      </c>
      <c r="E411" s="17" t="inlineStr">
        <is>
          <t>R</t>
        </is>
      </c>
      <c r="F411" s="17" t="n"/>
      <c r="G411" s="9" t="n">
        <v>141</v>
      </c>
      <c r="H411" s="9" t="n">
        <v>193</v>
      </c>
      <c r="I411" s="9" t="inlineStr">
        <is>
          <t>End-of-Rotation Starter (SP4-5)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</f>
        <v/>
      </c>
      <c r="AD411" s="15">
        <f>SUMPRODUCT(M411:X411,$M$6:$X$6)</f>
        <v/>
      </c>
      <c r="AE411" s="19" t="n"/>
    </row>
    <row r="412">
      <c r="A412" s="9" t="n">
        <v>808963</v>
      </c>
      <c r="B412" s="9" t="inlineStr">
        <is>
          <t>Roki Sasaki</t>
        </is>
      </c>
      <c r="C412" s="9" t="inlineStr">
        <is>
          <t>LAD</t>
        </is>
      </c>
      <c r="D412" s="9" t="n">
        <v>25</v>
      </c>
      <c r="E412" s="17" t="inlineStr">
        <is>
          <t>R</t>
        </is>
      </c>
      <c r="F412" s="17" t="n"/>
      <c r="G412" s="9" t="n">
        <v>247</v>
      </c>
      <c r="H412" s="9" t="n">
        <v>408</v>
      </c>
      <c r="I412" s="9" t="inlineStr">
        <is>
          <t>End-of-Rotation Starter (SP4-5)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</f>
        <v/>
      </c>
      <c r="AD412" s="15">
        <f>SUMPRODUCT(M412:X412,$M$6:$X$6)</f>
        <v/>
      </c>
      <c r="AE412" s="19" t="n"/>
    </row>
    <row r="413">
      <c r="A413" s="9" t="n">
        <v>805299</v>
      </c>
      <c r="B413" s="9" t="inlineStr">
        <is>
          <t>Brandyn Garcia</t>
        </is>
      </c>
      <c r="C413" s="9" t="inlineStr">
        <is>
          <t>ARI</t>
        </is>
      </c>
      <c r="D413" s="9" t="n">
        <v>27</v>
      </c>
      <c r="E413" s="17" t="inlineStr">
        <is>
          <t>L</t>
        </is>
      </c>
      <c r="F413" s="17" t="n"/>
      <c r="G413" s="9" t="n">
        <v>52</v>
      </c>
      <c r="H413" s="9" t="n">
        <v>118</v>
      </c>
      <c r="I413" s="9" t="inlineStr">
        <is>
          <t>Bullpen Depth Arm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</f>
        <v/>
      </c>
      <c r="AD413" s="15">
        <f>SUMPRODUCT(M413:X413,$M$6:$X$6)</f>
        <v/>
      </c>
      <c r="AE413" s="19" t="n"/>
    </row>
    <row r="414">
      <c r="A414" s="9" t="n">
        <v>664062</v>
      </c>
      <c r="B414" s="9" t="inlineStr">
        <is>
          <t>Tony Gonsolin</t>
        </is>
      </c>
      <c r="C414" s="9" t="inlineStr">
        <is>
          <t>LAD</t>
        </is>
      </c>
      <c r="D414" s="9" t="n">
        <v>33</v>
      </c>
      <c r="E414" s="17" t="inlineStr">
        <is>
          <t>R</t>
        </is>
      </c>
      <c r="F414" s="17" t="n"/>
      <c r="G414" s="9" t="n">
        <v>157</v>
      </c>
      <c r="H414" s="9" t="n">
        <v>1090</v>
      </c>
      <c r="I414" s="9" t="inlineStr">
        <is>
          <t>Mid-Rotation Starter (SP2-3)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</f>
        <v/>
      </c>
      <c r="AD414" s="15">
        <f>SUMPRODUCT(M414:X414,$M$6:$X$6)</f>
        <v/>
      </c>
      <c r="AE414" s="19" t="n"/>
    </row>
    <row r="415">
      <c r="A415" s="9" t="n">
        <v>684320</v>
      </c>
      <c r="B415" s="9" t="inlineStr">
        <is>
          <t>Yariel Rodríguez</t>
        </is>
      </c>
      <c r="C415" s="9" t="inlineStr">
        <is>
          <t>TOR</t>
        </is>
      </c>
      <c r="D415" s="9" t="n">
        <v>30</v>
      </c>
      <c r="E415" s="17" t="inlineStr">
        <is>
          <t>R</t>
        </is>
      </c>
      <c r="F415" s="17" t="n"/>
      <c r="G415" s="9" t="n">
        <v>45</v>
      </c>
      <c r="H415" s="9" t="n">
        <v>711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</f>
        <v/>
      </c>
      <c r="AD415" s="15">
        <f>SUMPRODUCT(M415:X415,$M$6:$X$6)</f>
        <v/>
      </c>
      <c r="AE415" s="19" t="n"/>
    </row>
    <row r="416">
      <c r="A416" s="9" t="n">
        <v>656234</v>
      </c>
      <c r="B416" s="9" t="inlineStr">
        <is>
          <t>Jake Bird</t>
        </is>
      </c>
      <c r="C416" s="9" t="inlineStr">
        <is>
          <t>NYY</t>
        </is>
      </c>
      <c r="D416" s="9" t="n">
        <v>31</v>
      </c>
      <c r="E416" s="17" t="inlineStr">
        <is>
          <t>R</t>
        </is>
      </c>
      <c r="F416" s="17" t="n"/>
      <c r="G416" s="9" t="n">
        <v>85</v>
      </c>
      <c r="H416" s="9" t="n">
        <v>1110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</f>
        <v/>
      </c>
      <c r="AD416" s="15">
        <f>SUMPRODUCT(M416:X416,$M$6:$X$6)</f>
        <v/>
      </c>
      <c r="AE416" s="19" t="n"/>
    </row>
    <row r="417">
      <c r="A417" s="9" t="n">
        <v>804636</v>
      </c>
      <c r="B417" s="9" t="inlineStr">
        <is>
          <t>Jonah Tong</t>
        </is>
      </c>
      <c r="C417" s="9" t="inlineStr">
        <is>
          <t>NYM</t>
        </is>
      </c>
      <c r="D417" s="9" t="n">
        <v>24</v>
      </c>
      <c r="E417" s="17" t="inlineStr">
        <is>
          <t>R</t>
        </is>
      </c>
      <c r="F417" s="17" t="n"/>
      <c r="G417" s="9" t="n">
        <v>47</v>
      </c>
      <c r="H417" s="9" t="n">
        <v>134</v>
      </c>
      <c r="I417" s="9" t="inlineStr">
        <is>
          <t>End-of-Rotation Starter (SP4-5)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</f>
        <v/>
      </c>
      <c r="AD417" s="15">
        <f>SUMPRODUCT(M417:X417,$M$6:$X$6)</f>
        <v/>
      </c>
      <c r="AE417" s="19" t="n"/>
    </row>
    <row r="418">
      <c r="A418" s="9" t="n">
        <v>683769</v>
      </c>
      <c r="B418" s="9" t="inlineStr">
        <is>
          <t>Hunter Gaddis</t>
        </is>
      </c>
      <c r="C418" s="9" t="inlineStr">
        <is>
          <t>CLE</t>
        </is>
      </c>
      <c r="D418" s="9" t="n">
        <v>29</v>
      </c>
      <c r="E418" s="17" t="inlineStr">
        <is>
          <t>R</t>
        </is>
      </c>
      <c r="F418" s="17" t="n"/>
      <c r="G418" s="9" t="n">
        <v>78</v>
      </c>
      <c r="H418" s="9" t="n">
        <v>852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</f>
        <v/>
      </c>
      <c r="AD418" s="15">
        <f>SUMPRODUCT(M418:X418,$M$6:$X$6)</f>
        <v/>
      </c>
      <c r="AE418" s="19" t="n"/>
    </row>
    <row r="419">
      <c r="A419" s="9" t="n">
        <v>592351</v>
      </c>
      <c r="B419" s="9" t="inlineStr">
        <is>
          <t>Jon Gray</t>
        </is>
      </c>
      <c r="C419" s="9" t="inlineStr">
        <is>
          <t>TEX</t>
        </is>
      </c>
      <c r="D419" s="9" t="n">
        <v>35</v>
      </c>
      <c r="E419" s="17" t="inlineStr">
        <is>
          <t>R</t>
        </is>
      </c>
      <c r="F419" s="17" t="n"/>
      <c r="G419" s="9" t="n">
        <v>63</v>
      </c>
      <c r="H419" s="9" t="n">
        <v>1679</v>
      </c>
      <c r="I419" s="9" t="inlineStr">
        <is>
          <t>End-of-Rotation Starter (SP4-5)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</f>
        <v/>
      </c>
      <c r="AD419" s="15">
        <f>SUMPRODUCT(M419:X419,$M$6:$X$6)</f>
        <v/>
      </c>
      <c r="AE419" s="19" t="n"/>
    </row>
    <row r="420">
      <c r="A420" s="9" t="n">
        <v>669330</v>
      </c>
      <c r="B420" s="9" t="inlineStr">
        <is>
          <t>Tyler Wells</t>
        </is>
      </c>
      <c r="C420" s="9" t="inlineStr">
        <is>
          <t>BAL</t>
        </is>
      </c>
      <c r="D420" s="9" t="n">
        <v>32</v>
      </c>
      <c r="E420" s="17" t="inlineStr">
        <is>
          <t>R</t>
        </is>
      </c>
      <c r="F420" s="17" t="n"/>
      <c r="G420" s="9" t="n">
        <v>122</v>
      </c>
      <c r="H420" s="9" t="n">
        <v>1164</v>
      </c>
      <c r="I420" s="9" t="inlineStr">
        <is>
          <t>Middle Relief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</f>
        <v/>
      </c>
      <c r="AD420" s="15">
        <f>SUMPRODUCT(M420:X420,$M$6:$X$6)</f>
        <v/>
      </c>
      <c r="AE420" s="19" t="n"/>
    </row>
    <row r="421">
      <c r="A421" s="9" t="n">
        <v>668873</v>
      </c>
      <c r="B421" s="9" t="inlineStr">
        <is>
          <t>Caleb Kilian</t>
        </is>
      </c>
      <c r="C421" s="9" t="inlineStr">
        <is>
          <t>SF</t>
        </is>
      </c>
      <c r="D421" s="9" t="n">
        <v>30</v>
      </c>
      <c r="E421" s="17" t="inlineStr">
        <is>
          <t>R</t>
        </is>
      </c>
      <c r="F421" s="17" t="n"/>
      <c r="G421" s="9" t="n">
        <v>124</v>
      </c>
      <c r="H421" s="9" t="n">
        <v>261</v>
      </c>
      <c r="I421" s="9" t="inlineStr">
        <is>
          <t>Bullpen Depth Arm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</f>
        <v/>
      </c>
      <c r="AD421" s="15">
        <f>SUMPRODUCT(M421:X421,$M$6:$X$6)</f>
        <v/>
      </c>
      <c r="AE421" s="19" t="n"/>
    </row>
    <row r="422">
      <c r="A422" s="9" t="n">
        <v>657514</v>
      </c>
      <c r="B422" s="9" t="inlineStr">
        <is>
          <t>Brennan Bernardino</t>
        </is>
      </c>
      <c r="C422" s="9" t="inlineStr">
        <is>
          <t>COL</t>
        </is>
      </c>
      <c r="D422" s="9" t="n">
        <v>35</v>
      </c>
      <c r="E422" s="17" t="inlineStr">
        <is>
          <t>L</t>
        </is>
      </c>
      <c r="F422" s="17" t="n"/>
      <c r="G422" s="9" t="n">
        <v>114</v>
      </c>
      <c r="H422" s="9" t="n">
        <v>793</v>
      </c>
      <c r="I422" s="9" t="inlineStr">
        <is>
          <t>Closer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</f>
        <v/>
      </c>
      <c r="AD422" s="15">
        <f>SUMPRODUCT(M422:X422,$M$6:$X$6)</f>
        <v/>
      </c>
      <c r="AE422" s="19" t="n"/>
    </row>
    <row r="423">
      <c r="A423" s="9" t="n">
        <v>605513</v>
      </c>
      <c r="B423" s="9" t="inlineStr">
        <is>
          <t>Spencer Turnbull</t>
        </is>
      </c>
      <c r="C423" s="9" t="inlineStr">
        <is>
          <t>TOR</t>
        </is>
      </c>
      <c r="D423" s="9" t="n">
        <v>34</v>
      </c>
      <c r="E423" s="17" t="inlineStr">
        <is>
          <t>R</t>
        </is>
      </c>
      <c r="F423" s="17" t="n"/>
      <c r="G423" s="9" t="n">
        <v>33</v>
      </c>
      <c r="H423" s="9" t="n">
        <v>400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</f>
        <v/>
      </c>
      <c r="AD423" s="15">
        <f>SUMPRODUCT(M423:X423,$M$6:$X$6)</f>
        <v/>
      </c>
      <c r="AE423" s="19" t="n"/>
    </row>
    <row r="424">
      <c r="A424" s="9" t="n">
        <v>681252</v>
      </c>
      <c r="B424" s="9" t="inlineStr">
        <is>
          <t>Jack Anderson</t>
        </is>
      </c>
      <c r="C424" s="9" t="inlineStr">
        <is>
          <t>BOS</t>
        </is>
      </c>
      <c r="D424" s="9" t="n">
        <v>27</v>
      </c>
      <c r="E424" s="17" t="inlineStr">
        <is>
          <t>R</t>
        </is>
      </c>
      <c r="F424" s="17" t="n"/>
      <c r="G424" s="9" t="n">
        <v>32</v>
      </c>
      <c r="H424" s="9" t="n">
        <v>32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</f>
        <v/>
      </c>
      <c r="AD424" s="15">
        <f>SUMPRODUCT(M424:X424,$M$6:$X$6)</f>
        <v/>
      </c>
      <c r="AE424" s="19" t="n"/>
    </row>
    <row r="425">
      <c r="A425" s="9" t="n">
        <v>690155</v>
      </c>
      <c r="B425" s="9" t="inlineStr">
        <is>
          <t>Matt Pushard</t>
        </is>
      </c>
      <c r="C425" s="9" t="inlineStr">
        <is>
          <t>STL</t>
        </is>
      </c>
      <c r="D425" s="9" t="n">
        <v>29</v>
      </c>
      <c r="E425" s="17" t="inlineStr">
        <is>
          <t>R</t>
        </is>
      </c>
      <c r="F425" s="17" t="n"/>
      <c r="G425" s="9" t="n">
        <v>32</v>
      </c>
      <c r="H425" s="9" t="n">
        <v>32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</f>
        <v/>
      </c>
      <c r="AD425" s="15">
        <f>SUMPRODUCT(M425:X425,$M$6:$X$6)</f>
        <v/>
      </c>
      <c r="AE425" s="19" t="n"/>
    </row>
    <row r="426">
      <c r="A426" s="9" t="n">
        <v>691946</v>
      </c>
      <c r="B426" s="9" t="inlineStr">
        <is>
          <t>George Klassen</t>
        </is>
      </c>
      <c r="C426" s="9" t="inlineStr">
        <is>
          <t>LAA</t>
        </is>
      </c>
      <c r="D426" s="9" t="n">
        <v>25</v>
      </c>
      <c r="E426" s="17" t="inlineStr">
        <is>
          <t>R</t>
        </is>
      </c>
      <c r="F426" s="17" t="n"/>
      <c r="G426" s="9" t="n">
        <v>32</v>
      </c>
      <c r="H426" s="9" t="n">
        <v>32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</f>
        <v/>
      </c>
      <c r="AD426" s="15">
        <f>SUMPRODUCT(M426:X426,$M$6:$X$6)</f>
        <v/>
      </c>
      <c r="AE426" s="19" t="n"/>
    </row>
    <row r="427">
      <c r="A427" s="9" t="n">
        <v>642701</v>
      </c>
      <c r="B427" s="9" t="inlineStr">
        <is>
          <t>Dennis Santana</t>
        </is>
      </c>
      <c r="C427" s="9" t="inlineStr">
        <is>
          <t>PIT</t>
        </is>
      </c>
      <c r="D427" s="9" t="n">
        <v>31</v>
      </c>
      <c r="E427" s="17" t="inlineStr">
        <is>
          <t>R</t>
        </is>
      </c>
      <c r="F427" s="17" t="n"/>
      <c r="G427" s="9" t="n">
        <v>124</v>
      </c>
      <c r="H427" s="9" t="n">
        <v>986</v>
      </c>
      <c r="I427" s="9" t="inlineStr">
        <is>
          <t>Middle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</f>
        <v/>
      </c>
      <c r="AD427" s="15">
        <f>SUMPRODUCT(M427:X427,$M$6:$X$6)</f>
        <v/>
      </c>
      <c r="AE427" s="19" t="n"/>
    </row>
    <row r="428">
      <c r="A428" s="9" t="n">
        <v>572143</v>
      </c>
      <c r="B428" s="9" t="inlineStr">
        <is>
          <t>Burch Smith</t>
        </is>
      </c>
      <c r="C428" s="9" t="inlineStr">
        <is>
          <t>DET</t>
        </is>
      </c>
      <c r="D428" s="9" t="n">
        <v>37</v>
      </c>
      <c r="E428" s="17" t="inlineStr">
        <is>
          <t>R</t>
        </is>
      </c>
      <c r="F428" s="17" t="n"/>
      <c r="G428" s="9" t="n">
        <v>73</v>
      </c>
      <c r="H428" s="9" t="n">
        <v>314</v>
      </c>
      <c r="I428" s="9" t="inlineStr">
        <is>
          <t>Middle Relief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</f>
        <v/>
      </c>
      <c r="AD428" s="15">
        <f>SUMPRODUCT(M428:X428,$M$6:$X$6)</f>
        <v/>
      </c>
      <c r="AE428" s="19" t="n"/>
    </row>
    <row r="429">
      <c r="A429" s="9" t="n">
        <v>669371</v>
      </c>
      <c r="B429" s="9" t="inlineStr">
        <is>
          <t>Cole Henry</t>
        </is>
      </c>
      <c r="C429" s="9" t="inlineStr">
        <is>
          <t>WSH</t>
        </is>
      </c>
      <c r="D429" s="9" t="n">
        <v>27</v>
      </c>
      <c r="E429" s="17" t="inlineStr">
        <is>
          <t>R</t>
        </is>
      </c>
      <c r="F429" s="17" t="n"/>
      <c r="G429" s="9" t="n">
        <v>61</v>
      </c>
      <c r="H429" s="9" t="n">
        <v>302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</f>
        <v/>
      </c>
      <c r="AD429" s="15">
        <f>SUMPRODUCT(M429:X429,$M$6:$X$6)</f>
        <v/>
      </c>
      <c r="AE429" s="19" t="n"/>
    </row>
    <row r="430">
      <c r="A430" s="9" t="n">
        <v>518876</v>
      </c>
      <c r="B430" s="9" t="inlineStr">
        <is>
          <t>Merrill Kelly</t>
        </is>
      </c>
      <c r="C430" s="9" t="inlineStr">
        <is>
          <t>ARI</t>
        </is>
      </c>
      <c r="D430" s="9" t="n">
        <v>38</v>
      </c>
      <c r="E430" s="17" t="inlineStr">
        <is>
          <t>R</t>
        </is>
      </c>
      <c r="F430" s="17" t="n"/>
      <c r="G430" s="9" t="n">
        <v>259</v>
      </c>
      <c r="H430" s="9" t="n">
        <v>2833</v>
      </c>
      <c r="I430" s="9" t="inlineStr">
        <is>
          <t>Mid-Rotation Starter (SP2-3)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</f>
        <v/>
      </c>
      <c r="AD430" s="15">
        <f>SUMPRODUCT(M430:X430,$M$6:$X$6)</f>
        <v/>
      </c>
      <c r="AE430" s="19" t="n"/>
    </row>
    <row r="431">
      <c r="A431" s="9" t="n">
        <v>690382</v>
      </c>
      <c r="B431" s="9" t="inlineStr">
        <is>
          <t>Michael Darrell-Hicks</t>
        </is>
      </c>
      <c r="C431" s="9" t="inlineStr">
        <is>
          <t>PIT</t>
        </is>
      </c>
      <c r="D431" s="9" t="n">
        <v>29</v>
      </c>
      <c r="E431" s="17" t="inlineStr">
        <is>
          <t>R</t>
        </is>
      </c>
      <c r="F431" s="17" t="n"/>
      <c r="G431" s="9" t="n">
        <v>43</v>
      </c>
      <c r="H431" s="9" t="n">
        <v>43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</f>
        <v/>
      </c>
      <c r="AD431" s="15">
        <f>SUMPRODUCT(M431:X431,$M$6:$X$6)</f>
        <v/>
      </c>
      <c r="AE431" s="19" t="n"/>
    </row>
    <row r="432">
      <c r="A432" s="9" t="n">
        <v>672782</v>
      </c>
      <c r="B432" s="9" t="inlineStr">
        <is>
          <t>Yoendrys Gómez</t>
        </is>
      </c>
      <c r="C432" s="9" t="inlineStr">
        <is>
          <t>MIN</t>
        </is>
      </c>
      <c r="D432" s="9" t="n">
        <v>27</v>
      </c>
      <c r="E432" s="17" t="inlineStr">
        <is>
          <t>R</t>
        </is>
      </c>
      <c r="F432" s="17" t="n"/>
      <c r="G432" s="9" t="n">
        <v>137</v>
      </c>
      <c r="H432" s="9" t="n">
        <v>476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</f>
        <v/>
      </c>
      <c r="AD432" s="15">
        <f>SUMPRODUCT(M432:X432,$M$6:$X$6)</f>
        <v/>
      </c>
      <c r="AE432" s="19" t="n"/>
    </row>
    <row r="433">
      <c r="A433" s="9" t="n">
        <v>666277</v>
      </c>
      <c r="B433" s="9" t="inlineStr">
        <is>
          <t>George Soriano</t>
        </is>
      </c>
      <c r="C433" s="9" t="inlineStr">
        <is>
          <t>STL</t>
        </is>
      </c>
      <c r="D433" s="9" t="n">
        <v>28</v>
      </c>
      <c r="E433" s="17" t="inlineStr">
        <is>
          <t>R</t>
        </is>
      </c>
      <c r="F433" s="17" t="n"/>
      <c r="G433" s="9" t="n">
        <v>110</v>
      </c>
      <c r="H433" s="9" t="n">
        <v>642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</f>
        <v/>
      </c>
      <c r="AD433" s="15">
        <f>SUMPRODUCT(M433:X433,$M$6:$X$6)</f>
        <v/>
      </c>
      <c r="AE433" s="19" t="n"/>
    </row>
    <row r="434">
      <c r="A434" s="9" t="n">
        <v>641778</v>
      </c>
      <c r="B434" s="9" t="inlineStr">
        <is>
          <t>Eric Lauer</t>
        </is>
      </c>
      <c r="C434" s="9" t="inlineStr">
        <is>
          <t>LAD</t>
        </is>
      </c>
      <c r="D434" s="9" t="n">
        <v>32</v>
      </c>
      <c r="E434" s="17" t="inlineStr">
        <is>
          <t>L</t>
        </is>
      </c>
      <c r="F434" s="17" t="n"/>
      <c r="G434" s="9" t="n">
        <v>224</v>
      </c>
      <c r="H434" s="9" t="n">
        <v>1522</v>
      </c>
      <c r="I434" s="9" t="inlineStr">
        <is>
          <t>End-of-Rotation Starter (SP4-5)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</f>
        <v/>
      </c>
      <c r="AD434" s="15">
        <f>SUMPRODUCT(M434:X434,$M$6:$X$6)</f>
        <v/>
      </c>
      <c r="AE434" s="19" t="n"/>
    </row>
    <row r="435">
      <c r="A435" s="9" t="n">
        <v>685068</v>
      </c>
      <c r="B435" s="9" t="inlineStr">
        <is>
          <t>Carson Ragsdale</t>
        </is>
      </c>
      <c r="C435" s="9" t="inlineStr">
        <is>
          <t>BAL</t>
        </is>
      </c>
      <c r="D435" s="9" t="n">
        <v>29</v>
      </c>
      <c r="E435" s="17" t="inlineStr">
        <is>
          <t>R</t>
        </is>
      </c>
      <c r="F435" s="17" t="n"/>
      <c r="G435" s="9" t="n">
        <v>25</v>
      </c>
      <c r="H435" s="9" t="n">
        <v>25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</f>
        <v/>
      </c>
      <c r="AD435" s="15">
        <f>SUMPRODUCT(M435:X435,$M$6:$X$6)</f>
        <v/>
      </c>
      <c r="AE435" s="19" t="n"/>
    </row>
    <row r="436">
      <c r="A436" s="9" t="n">
        <v>663462</v>
      </c>
      <c r="B436" s="9" t="inlineStr">
        <is>
          <t>Isaiah Campbell</t>
        </is>
      </c>
      <c r="C436" s="9" t="inlineStr">
        <is>
          <t>BOS</t>
        </is>
      </c>
      <c r="D436" s="9" t="n">
        <v>29</v>
      </c>
      <c r="E436" s="17" t="inlineStr">
        <is>
          <t>R</t>
        </is>
      </c>
      <c r="F436" s="17" t="n"/>
      <c r="G436" s="9" t="n">
        <v>35</v>
      </c>
      <c r="H436" s="9" t="n">
        <v>192</v>
      </c>
      <c r="I436" s="9" t="inlineStr">
        <is>
          <t>Bullpen Depth Arm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</f>
        <v/>
      </c>
      <c r="AD436" s="15">
        <f>SUMPRODUCT(M436:X436,$M$6:$X$6)</f>
        <v/>
      </c>
      <c r="AE436" s="19" t="n"/>
    </row>
    <row r="437">
      <c r="A437" s="9" t="n">
        <v>643338</v>
      </c>
      <c r="B437" s="9" t="inlineStr">
        <is>
          <t>Chad Green</t>
        </is>
      </c>
      <c r="C437" s="9" t="inlineStr">
        <is>
          <t>TOR</t>
        </is>
      </c>
      <c r="D437" s="9" t="n">
        <v>36</v>
      </c>
      <c r="E437" s="17" t="inlineStr">
        <is>
          <t>R</t>
        </is>
      </c>
      <c r="F437" s="17" t="n"/>
      <c r="G437" s="9" t="n">
        <v>190</v>
      </c>
      <c r="H437" s="9" t="n">
        <v>514</v>
      </c>
      <c r="I437" s="9" t="inlineStr">
        <is>
          <t>Bullpen Depth Arm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</f>
        <v/>
      </c>
      <c r="AD437" s="15">
        <f>SUMPRODUCT(M437:X437,$M$6:$X$6)</f>
        <v/>
      </c>
      <c r="AE437" s="19" t="n"/>
    </row>
    <row r="438">
      <c r="A438" s="9" t="n">
        <v>663546</v>
      </c>
      <c r="B438" s="9" t="inlineStr">
        <is>
          <t>Sean Hjelle</t>
        </is>
      </c>
      <c r="C438" s="9" t="inlineStr">
        <is>
          <t>SF</t>
        </is>
      </c>
      <c r="D438" s="9" t="n">
        <v>30</v>
      </c>
      <c r="E438" s="17" t="inlineStr">
        <is>
          <t>R</t>
        </is>
      </c>
      <c r="F438" s="17" t="n"/>
      <c r="G438" s="9" t="n">
        <v>73</v>
      </c>
      <c r="H438" s="9" t="n">
        <v>664</v>
      </c>
      <c r="I438" s="9" t="inlineStr">
        <is>
          <t>Middle Relief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</f>
        <v/>
      </c>
      <c r="AD438" s="15">
        <f>SUMPRODUCT(M438:X438,$M$6:$X$6)</f>
        <v/>
      </c>
      <c r="AE438" s="19" t="n"/>
    </row>
    <row r="439">
      <c r="A439" s="9" t="n">
        <v>669684</v>
      </c>
      <c r="B439" s="9" t="inlineStr">
        <is>
          <t>Chris Murphy</t>
        </is>
      </c>
      <c r="C439" s="9" t="inlineStr">
        <is>
          <t>CWS</t>
        </is>
      </c>
      <c r="D439" s="9" t="n">
        <v>29</v>
      </c>
      <c r="E439" s="17" t="inlineStr">
        <is>
          <t>L</t>
        </is>
      </c>
      <c r="F439" s="17" t="n"/>
      <c r="G439" s="9" t="n">
        <v>46</v>
      </c>
      <c r="H439" s="9" t="n">
        <v>406</v>
      </c>
      <c r="I439" s="9" t="inlineStr">
        <is>
          <t>Bullpen Depth Arm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</f>
        <v/>
      </c>
      <c r="AD439" s="15">
        <f>SUMPRODUCT(M439:X439,$M$6:$X$6)</f>
        <v/>
      </c>
      <c r="AE439" s="19" t="n"/>
    </row>
    <row r="440">
      <c r="A440" s="9" t="n">
        <v>663767</v>
      </c>
      <c r="B440" s="9" t="inlineStr">
        <is>
          <t>Chase Shugart</t>
        </is>
      </c>
      <c r="C440" s="9" t="inlineStr">
        <is>
          <t>PHI</t>
        </is>
      </c>
      <c r="D440" s="9" t="n">
        <v>30</v>
      </c>
      <c r="E440" s="17" t="inlineStr">
        <is>
          <t>R</t>
        </is>
      </c>
      <c r="F440" s="17" t="n"/>
      <c r="G440" s="9" t="n">
        <v>79</v>
      </c>
      <c r="H440" s="9" t="n">
        <v>296</v>
      </c>
      <c r="I440" s="9" t="inlineStr">
        <is>
          <t>Bullpen Depth Arm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</f>
        <v/>
      </c>
      <c r="AD440" s="15">
        <f>SUMPRODUCT(M440:X440,$M$6:$X$6)</f>
        <v/>
      </c>
      <c r="AE440" s="19" t="n"/>
    </row>
    <row r="441">
      <c r="A441" s="9" t="n">
        <v>675989</v>
      </c>
      <c r="B441" s="9" t="inlineStr">
        <is>
          <t>Cody Bolton</t>
        </is>
      </c>
      <c r="C441" s="9" t="inlineStr">
        <is>
          <t>HOU</t>
        </is>
      </c>
      <c r="D441" s="9" t="n">
        <v>29</v>
      </c>
      <c r="E441" s="17" t="inlineStr">
        <is>
          <t>R</t>
        </is>
      </c>
      <c r="F441" s="17" t="n"/>
      <c r="G441" s="9" t="n">
        <v>95</v>
      </c>
      <c r="H441" s="9" t="n">
        <v>295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</f>
        <v/>
      </c>
      <c r="AD441" s="15">
        <f>SUMPRODUCT(M441:X441,$M$6:$X$6)</f>
        <v/>
      </c>
      <c r="AE441" s="19" t="n"/>
    </row>
    <row r="442">
      <c r="A442" s="9" t="n">
        <v>663804</v>
      </c>
      <c r="B442" s="9" t="inlineStr">
        <is>
          <t>Jackson Kowar</t>
        </is>
      </c>
      <c r="C442" s="9" t="inlineStr">
        <is>
          <t>SEA</t>
        </is>
      </c>
      <c r="D442" s="9" t="n">
        <v>30</v>
      </c>
      <c r="E442" s="17" t="inlineStr">
        <is>
          <t>R</t>
        </is>
      </c>
      <c r="F442" s="17" t="n"/>
      <c r="G442" s="9" t="n">
        <v>71</v>
      </c>
      <c r="H442" s="9" t="n">
        <v>290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</f>
        <v/>
      </c>
      <c r="AD442" s="15">
        <f>SUMPRODUCT(M442:X442,$M$6:$X$6)</f>
        <v/>
      </c>
      <c r="AE442" s="19" t="n"/>
    </row>
    <row r="443">
      <c r="A443" s="9" t="n">
        <v>642546</v>
      </c>
      <c r="B443" s="9" t="inlineStr">
        <is>
          <t>Jonathan Hernández</t>
        </is>
      </c>
      <c r="C443" s="9" t="inlineStr">
        <is>
          <t>LAD</t>
        </is>
      </c>
      <c r="D443" s="9" t="n">
        <v>30</v>
      </c>
      <c r="E443" s="17" t="inlineStr">
        <is>
          <t>R</t>
        </is>
      </c>
      <c r="F443" s="17" t="n"/>
      <c r="G443" s="9" t="n">
        <v>40</v>
      </c>
      <c r="H443" s="9" t="n">
        <v>510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</f>
        <v/>
      </c>
      <c r="AD443" s="15">
        <f>SUMPRODUCT(M443:X443,$M$6:$X$6)</f>
        <v/>
      </c>
      <c r="AE443" s="19" t="n"/>
    </row>
    <row r="444">
      <c r="A444" s="9" t="n">
        <v>666659</v>
      </c>
      <c r="B444" s="9" t="inlineStr">
        <is>
          <t>Sauryn Lao</t>
        </is>
      </c>
      <c r="C444" s="9" t="inlineStr">
        <is>
          <t>WSH</t>
        </is>
      </c>
      <c r="D444" s="9" t="n">
        <v>27</v>
      </c>
      <c r="E444" s="17" t="inlineStr">
        <is>
          <t>R</t>
        </is>
      </c>
      <c r="F444" s="17" t="n"/>
      <c r="G444" s="9" t="n">
        <v>49</v>
      </c>
      <c r="H444" s="9" t="n">
        <v>49</v>
      </c>
      <c r="I444" s="9" t="inlineStr">
        <is>
          <t>Late Inning RP (Setup)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</f>
        <v/>
      </c>
      <c r="AD444" s="15">
        <f>SUMPRODUCT(M444:X444,$M$6:$X$6)</f>
        <v/>
      </c>
      <c r="AE444" s="19" t="n"/>
    </row>
    <row r="445">
      <c r="A445" s="9" t="n">
        <v>676742</v>
      </c>
      <c r="B445" s="9" t="inlineStr">
        <is>
          <t>Cam Sanders</t>
        </is>
      </c>
      <c r="C445" s="9" t="inlineStr">
        <is>
          <t>PIT</t>
        </is>
      </c>
      <c r="D445" s="9" t="n">
        <v>30</v>
      </c>
      <c r="E445" s="17" t="inlineStr">
        <is>
          <t>R</t>
        </is>
      </c>
      <c r="F445" s="17" t="n"/>
      <c r="G445" s="9" t="n">
        <v>30</v>
      </c>
      <c r="H445" s="9" t="n">
        <v>64</v>
      </c>
      <c r="I445" s="9" t="inlineStr">
        <is>
          <t>Middle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</f>
        <v/>
      </c>
      <c r="AD445" s="15">
        <f>SUMPRODUCT(M445:X445,$M$6:$X$6)</f>
        <v/>
      </c>
      <c r="AE445" s="19" t="n"/>
    </row>
    <row r="446">
      <c r="A446" s="9" t="n">
        <v>700249</v>
      </c>
      <c r="B446" s="9" t="inlineStr">
        <is>
          <t>Cade Povich</t>
        </is>
      </c>
      <c r="C446" s="9" t="inlineStr">
        <is>
          <t>BAL</t>
        </is>
      </c>
      <c r="D446" s="9" t="n">
        <v>27</v>
      </c>
      <c r="E446" s="17" t="inlineStr">
        <is>
          <t>L</t>
        </is>
      </c>
      <c r="F446" s="17" t="n"/>
      <c r="G446" s="9" t="n">
        <v>82</v>
      </c>
      <c r="H446" s="9" t="n">
        <v>922</v>
      </c>
      <c r="I446" s="9" t="inlineStr">
        <is>
          <t>Mid-Rotation Starter (SP2-3)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</f>
        <v/>
      </c>
      <c r="AD446" s="15">
        <f>SUMPRODUCT(M446:X446,$M$6:$X$6)</f>
        <v/>
      </c>
      <c r="AE446" s="19" t="n"/>
    </row>
    <row r="447">
      <c r="A447" s="9" t="n">
        <v>681402</v>
      </c>
      <c r="B447" s="9" t="inlineStr">
        <is>
          <t>Gus Varland</t>
        </is>
      </c>
      <c r="C447" s="9" t="inlineStr">
        <is>
          <t>WSH</t>
        </is>
      </c>
      <c r="D447" s="9" t="n">
        <v>30</v>
      </c>
      <c r="E447" s="17" t="inlineStr">
        <is>
          <t>R</t>
        </is>
      </c>
      <c r="F447" s="17" t="n"/>
      <c r="G447" s="9" t="n">
        <v>112</v>
      </c>
      <c r="H447" s="9" t="n">
        <v>330</v>
      </c>
      <c r="I447" s="9" t="inlineStr">
        <is>
          <t>Middle Relief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</f>
        <v/>
      </c>
      <c r="AD447" s="15">
        <f>SUMPRODUCT(M447:X447,$M$6:$X$6)</f>
        <v/>
      </c>
      <c r="AE447" s="19" t="n"/>
    </row>
    <row r="448">
      <c r="A448" s="9" t="n">
        <v>694350</v>
      </c>
      <c r="B448" s="9" t="inlineStr">
        <is>
          <t>Zach Brzykcy</t>
        </is>
      </c>
      <c r="C448" s="9" t="inlineStr">
        <is>
          <t>WSH</t>
        </is>
      </c>
      <c r="D448" s="9" t="n">
        <v>27</v>
      </c>
      <c r="E448" s="17" t="inlineStr">
        <is>
          <t>R</t>
        </is>
      </c>
      <c r="F448" s="17" t="n"/>
      <c r="G448" s="9" t="n">
        <v>110</v>
      </c>
      <c r="H448" s="9" t="n">
        <v>138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</f>
        <v/>
      </c>
      <c r="AD448" s="15">
        <f>SUMPRODUCT(M448:X448,$M$6:$X$6)</f>
        <v/>
      </c>
      <c r="AE448" s="19" t="n"/>
    </row>
    <row r="449">
      <c r="A449" s="9" t="n">
        <v>671162</v>
      </c>
      <c r="B449" s="9" t="inlineStr">
        <is>
          <t>Connor Thomas</t>
        </is>
      </c>
      <c r="C449" s="9" t="inlineStr">
        <is>
          <t>MIL</t>
        </is>
      </c>
      <c r="D449" s="9" t="n">
        <v>29</v>
      </c>
      <c r="E449" s="17" t="inlineStr">
        <is>
          <t>L</t>
        </is>
      </c>
      <c r="F449" s="17" t="n"/>
      <c r="G449" s="9" t="n">
        <v>31</v>
      </c>
      <c r="H449" s="9" t="n">
        <v>31</v>
      </c>
      <c r="I449" s="9" t="inlineStr">
        <is>
          <t>Bullpen Depth Arm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</f>
        <v/>
      </c>
      <c r="AD449" s="15">
        <f>SUMPRODUCT(M449:X449,$M$6:$X$6)</f>
        <v/>
      </c>
      <c r="AE449" s="19" t="n"/>
    </row>
    <row r="450">
      <c r="A450" s="9" t="n">
        <v>679775</v>
      </c>
      <c r="B450" s="9" t="inlineStr">
        <is>
          <t>Kyle Backhus</t>
        </is>
      </c>
      <c r="C450" s="9" t="inlineStr">
        <is>
          <t>PHI</t>
        </is>
      </c>
      <c r="D450" s="9" t="n">
        <v>29</v>
      </c>
      <c r="E450" s="17" t="inlineStr">
        <is>
          <t>L</t>
        </is>
      </c>
      <c r="F450" s="17" t="n"/>
      <c r="G450" s="9" t="n">
        <v>41</v>
      </c>
      <c r="H450" s="9" t="n">
        <v>156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</f>
        <v/>
      </c>
      <c r="AD450" s="15">
        <f>SUMPRODUCT(M450:X450,$M$6:$X$6)</f>
        <v/>
      </c>
      <c r="AE450" s="19" t="n"/>
    </row>
    <row r="451">
      <c r="A451" s="9" t="n">
        <v>664139</v>
      </c>
      <c r="B451" s="9" t="inlineStr">
        <is>
          <t>Ian Gibaut</t>
        </is>
      </c>
      <c r="C451" s="9" t="inlineStr">
        <is>
          <t>CIN</t>
        </is>
      </c>
      <c r="D451" s="9" t="n">
        <v>33</v>
      </c>
      <c r="E451" s="17" t="inlineStr">
        <is>
          <t>R</t>
        </is>
      </c>
      <c r="F451" s="17" t="n"/>
      <c r="G451" s="9" t="n">
        <v>109</v>
      </c>
      <c r="H451" s="9" t="n">
        <v>597</v>
      </c>
      <c r="I451" s="9" t="inlineStr">
        <is>
          <t>Bullpen Depth Arm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</f>
        <v/>
      </c>
      <c r="AD451" s="15">
        <f>SUMPRODUCT(M451:X451,$M$6:$X$6)</f>
        <v/>
      </c>
      <c r="AE451" s="19" t="n"/>
    </row>
    <row r="452">
      <c r="A452" s="9" t="n">
        <v>700363</v>
      </c>
      <c r="B452" s="9" t="inlineStr">
        <is>
          <t>AJ Smith-Shawver</t>
        </is>
      </c>
      <c r="C452" s="9" t="inlineStr">
        <is>
          <t>ATL</t>
        </is>
      </c>
      <c r="D452" s="9" t="n">
        <v>24</v>
      </c>
      <c r="E452" s="17" t="inlineStr">
        <is>
          <t>R</t>
        </is>
      </c>
      <c r="F452" s="17" t="n"/>
      <c r="G452" s="9" t="n">
        <v>192</v>
      </c>
      <c r="H452" s="9" t="n">
        <v>315</v>
      </c>
      <c r="I452" s="9" t="inlineStr">
        <is>
          <t>End-of-Rotation Starter (SP4-5)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</f>
        <v/>
      </c>
      <c r="AD452" s="15">
        <f>SUMPRODUCT(M452:X452,$M$6:$X$6)</f>
        <v/>
      </c>
      <c r="AE452" s="19" t="n"/>
    </row>
    <row r="453">
      <c r="A453" s="9" t="n">
        <v>670102</v>
      </c>
      <c r="B453" s="9" t="inlineStr">
        <is>
          <t>Bowden Francis</t>
        </is>
      </c>
      <c r="C453" s="9" t="inlineStr">
        <is>
          <t>TOR</t>
        </is>
      </c>
      <c r="D453" s="9" t="n">
        <v>31</v>
      </c>
      <c r="E453" s="17" t="inlineStr">
        <is>
          <t>R</t>
        </is>
      </c>
      <c r="F453" s="17" t="n"/>
      <c r="G453" s="9" t="n">
        <v>288</v>
      </c>
      <c r="H453" s="9" t="n">
        <v>835</v>
      </c>
      <c r="I453" s="9" t="inlineStr">
        <is>
          <t>End-of-Rotation Starter (SP4-5)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</f>
        <v/>
      </c>
      <c r="AD453" s="15">
        <f>SUMPRODUCT(M453:X453,$M$6:$X$6)</f>
        <v/>
      </c>
      <c r="AE453" s="19" t="n"/>
    </row>
    <row r="454">
      <c r="A454" s="9" t="n">
        <v>676961</v>
      </c>
      <c r="B454" s="9" t="inlineStr">
        <is>
          <t>Caleb Boushley</t>
        </is>
      </c>
      <c r="C454" s="9" t="inlineStr">
        <is>
          <t>TEX</t>
        </is>
      </c>
      <c r="D454" s="9" t="n">
        <v>33</v>
      </c>
      <c r="E454" s="17" t="inlineStr">
        <is>
          <t>R</t>
        </is>
      </c>
      <c r="F454" s="17" t="n"/>
      <c r="G454" s="9" t="n">
        <v>193</v>
      </c>
      <c r="H454" s="9" t="n">
        <v>223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</f>
        <v/>
      </c>
      <c r="AD454" s="15">
        <f>SUMPRODUCT(M454:X454,$M$6:$X$6)</f>
        <v/>
      </c>
      <c r="AE454" s="19" t="n"/>
    </row>
    <row r="455">
      <c r="A455" s="9" t="n">
        <v>622786</v>
      </c>
      <c r="B455" s="9" t="inlineStr">
        <is>
          <t>Jesus Tinoco</t>
        </is>
      </c>
      <c r="C455" s="9" t="inlineStr">
        <is>
          <t>MIA</t>
        </is>
      </c>
      <c r="D455" s="9" t="n">
        <v>32</v>
      </c>
      <c r="E455" s="17" t="inlineStr">
        <is>
          <t>R</t>
        </is>
      </c>
      <c r="F455" s="17" t="n"/>
      <c r="G455" s="9" t="n">
        <v>80</v>
      </c>
      <c r="H455" s="9" t="n">
        <v>326</v>
      </c>
      <c r="I455" s="9" t="inlineStr">
        <is>
          <t>Middle Relief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</f>
        <v/>
      </c>
      <c r="AD455" s="15">
        <f>SUMPRODUCT(M455:X455,$M$6:$X$6)</f>
        <v/>
      </c>
      <c r="AE455" s="19" t="n"/>
    </row>
    <row r="456">
      <c r="A456" s="9" t="n">
        <v>702153</v>
      </c>
      <c r="B456" s="9" t="inlineStr">
        <is>
          <t>Brian Fitzpatrick</t>
        </is>
      </c>
      <c r="C456" s="9" t="inlineStr">
        <is>
          <t>MIL</t>
        </is>
      </c>
      <c r="D456" s="9" t="n">
        <v>27</v>
      </c>
      <c r="E456" s="17" t="inlineStr">
        <is>
          <t>L</t>
        </is>
      </c>
      <c r="F456" s="17" t="n"/>
      <c r="G456" s="9" t="n">
        <v>30</v>
      </c>
      <c r="H456" s="9" t="n">
        <v>30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</f>
        <v/>
      </c>
      <c r="AD456" s="15">
        <f>SUMPRODUCT(M456:X456,$M$6:$X$6)</f>
        <v/>
      </c>
      <c r="AE456" s="19" t="n"/>
    </row>
    <row r="457">
      <c r="A457" s="9" t="n">
        <v>686560</v>
      </c>
      <c r="B457" s="9" t="inlineStr">
        <is>
          <t>Gavin Collyer</t>
        </is>
      </c>
      <c r="C457" s="9" t="inlineStr">
        <is>
          <t>TEX</t>
        </is>
      </c>
      <c r="D457" s="9" t="n">
        <v>26</v>
      </c>
      <c r="E457" s="17" t="inlineStr">
        <is>
          <t>R</t>
        </is>
      </c>
      <c r="F457" s="17" t="n"/>
      <c r="G457" s="9" t="n">
        <v>76</v>
      </c>
      <c r="H457" s="9" t="n">
        <v>76</v>
      </c>
      <c r="I457" s="9" t="inlineStr">
        <is>
          <t>Bullpen Depth Arm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</f>
        <v/>
      </c>
      <c r="AD457" s="15">
        <f>SUMPRODUCT(M457:X457,$M$6:$X$6)</f>
        <v/>
      </c>
      <c r="AE457" s="19" t="n"/>
    </row>
    <row r="458">
      <c r="A458" s="9" t="n">
        <v>666215</v>
      </c>
      <c r="B458" s="9" t="inlineStr">
        <is>
          <t>Forrest Whitley</t>
        </is>
      </c>
      <c r="C458" s="9" t="inlineStr">
        <is>
          <t>TB</t>
        </is>
      </c>
      <c r="D458" s="9" t="n">
        <v>29</v>
      </c>
      <c r="E458" s="17" t="inlineStr">
        <is>
          <t>R</t>
        </is>
      </c>
      <c r="F458" s="17" t="n"/>
      <c r="G458" s="9" t="n">
        <v>66</v>
      </c>
      <c r="H458" s="9" t="n">
        <v>86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</f>
        <v/>
      </c>
      <c r="AD458" s="15">
        <f>SUMPRODUCT(M458:X458,$M$6:$X$6)</f>
        <v/>
      </c>
      <c r="AE458" s="19" t="n"/>
    </row>
    <row r="459">
      <c r="A459" s="9" t="n">
        <v>676755</v>
      </c>
      <c r="B459" s="9" t="inlineStr">
        <is>
          <t>Isaac Mattson</t>
        </is>
      </c>
      <c r="C459" s="9" t="inlineStr">
        <is>
          <t>PIT</t>
        </is>
      </c>
      <c r="D459" s="9" t="n">
        <v>31</v>
      </c>
      <c r="E459" s="17" t="inlineStr">
        <is>
          <t>R</t>
        </is>
      </c>
      <c r="F459" s="17" t="n"/>
      <c r="G459" s="9" t="n">
        <v>87</v>
      </c>
      <c r="H459" s="9" t="n">
        <v>308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</f>
        <v/>
      </c>
      <c r="AD459" s="15">
        <f>SUMPRODUCT(M459:X459,$M$6:$X$6)</f>
        <v/>
      </c>
      <c r="AE459" s="19" t="n"/>
    </row>
    <row r="460">
      <c r="A460" s="9" t="n">
        <v>687003</v>
      </c>
      <c r="B460" s="9" t="inlineStr">
        <is>
          <t>Brian Van Belle</t>
        </is>
      </c>
      <c r="C460" s="9" t="inlineStr">
        <is>
          <t>TB</t>
        </is>
      </c>
      <c r="D460" s="9" t="n">
        <v>30</v>
      </c>
      <c r="E460" s="17" t="inlineStr">
        <is>
          <t>R</t>
        </is>
      </c>
      <c r="F460" s="17" t="n"/>
      <c r="G460" s="9" t="n">
        <v>36</v>
      </c>
      <c r="H460" s="9" t="n">
        <v>36</v>
      </c>
      <c r="I460" s="9" t="inlineStr">
        <is>
          <t>Bullpen Depth Arm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</f>
        <v/>
      </c>
      <c r="AD460" s="15">
        <f>SUMPRODUCT(M460:X460,$M$6:$X$6)</f>
        <v/>
      </c>
      <c r="AE460" s="19" t="n"/>
    </row>
    <row r="461">
      <c r="A461" s="9" t="n">
        <v>677961</v>
      </c>
      <c r="B461" s="9" t="inlineStr">
        <is>
          <t>Cole Wilcox</t>
        </is>
      </c>
      <c r="C461" s="9" t="inlineStr">
        <is>
          <t>SEA</t>
        </is>
      </c>
      <c r="D461" s="9" t="n">
        <v>27</v>
      </c>
      <c r="E461" s="17" t="inlineStr">
        <is>
          <t>R</t>
        </is>
      </c>
      <c r="F461" s="17" t="n"/>
      <c r="G461" s="9" t="n">
        <v>70</v>
      </c>
      <c r="H461" s="9" t="n">
        <v>82</v>
      </c>
      <c r="I461" s="9" t="inlineStr">
        <is>
          <t>Bullpen Depth Arm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</f>
        <v/>
      </c>
      <c r="AD461" s="15">
        <f>SUMPRODUCT(M461:X461,$M$6:$X$6)</f>
        <v/>
      </c>
      <c r="AE461" s="19" t="n"/>
    </row>
    <row r="462">
      <c r="A462" s="9" t="n">
        <v>693312</v>
      </c>
      <c r="B462" s="9" t="inlineStr">
        <is>
          <t>Kyle Nicolas</t>
        </is>
      </c>
      <c r="C462" s="9" t="inlineStr">
        <is>
          <t>CIN</t>
        </is>
      </c>
      <c r="D462" s="9" t="n">
        <v>28</v>
      </c>
      <c r="E462" s="17" t="inlineStr">
        <is>
          <t>R</t>
        </is>
      </c>
      <c r="F462" s="17" t="n"/>
      <c r="G462" s="9" t="n">
        <v>42</v>
      </c>
      <c r="H462" s="9" t="n">
        <v>478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</f>
        <v/>
      </c>
      <c r="AD462" s="15">
        <f>SUMPRODUCT(M462:X462,$M$6:$X$6)</f>
        <v/>
      </c>
      <c r="AE462" s="19" t="n"/>
    </row>
    <row r="463">
      <c r="A463" s="9" t="n">
        <v>701487</v>
      </c>
      <c r="B463" s="9" t="inlineStr">
        <is>
          <t>Pierson Ohl</t>
        </is>
      </c>
      <c r="C463" s="9" t="inlineStr">
        <is>
          <t>MIN</t>
        </is>
      </c>
      <c r="D463" s="9" t="n">
        <v>27</v>
      </c>
      <c r="E463" s="17" t="inlineStr">
        <is>
          <t>R</t>
        </is>
      </c>
      <c r="F463" s="17" t="n"/>
      <c r="G463" s="9" t="n">
        <v>133</v>
      </c>
      <c r="H463" s="9" t="n">
        <v>133</v>
      </c>
      <c r="I463" s="9" t="inlineStr">
        <is>
          <t>Middle Relief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</f>
        <v/>
      </c>
      <c r="AD463" s="15">
        <f>SUMPRODUCT(M463:X463,$M$6:$X$6)</f>
        <v/>
      </c>
      <c r="AE463" s="19" t="n"/>
    </row>
    <row r="464">
      <c r="A464" s="9" t="n">
        <v>665622</v>
      </c>
      <c r="B464" s="9" t="inlineStr">
        <is>
          <t>Luis Medina</t>
        </is>
      </c>
      <c r="C464" s="9" t="inlineStr">
        <is>
          <t>OAK</t>
        </is>
      </c>
      <c r="D464" s="9" t="n">
        <v>28</v>
      </c>
      <c r="E464" s="17" t="inlineStr">
        <is>
          <t>R</t>
        </is>
      </c>
      <c r="F464" s="17" t="n"/>
      <c r="G464" s="9" t="n">
        <v>118</v>
      </c>
      <c r="H464" s="9" t="n">
        <v>793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</f>
        <v/>
      </c>
      <c r="AD464" s="15">
        <f>SUMPRODUCT(M464:X464,$M$6:$X$6)</f>
        <v/>
      </c>
      <c r="AE464" s="19" t="n"/>
    </row>
    <row r="465">
      <c r="A465" s="9" t="n">
        <v>668984</v>
      </c>
      <c r="B465" s="9" t="inlineStr">
        <is>
          <t>Casey Legumina</t>
        </is>
      </c>
      <c r="C465" s="9" t="inlineStr">
        <is>
          <t>TB</t>
        </is>
      </c>
      <c r="D465" s="9" t="n">
        <v>30</v>
      </c>
      <c r="E465" s="17" t="inlineStr">
        <is>
          <t>R</t>
        </is>
      </c>
      <c r="F465" s="17" t="n"/>
      <c r="G465" s="9" t="n">
        <v>121</v>
      </c>
      <c r="H465" s="9" t="n">
        <v>448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</f>
        <v/>
      </c>
      <c r="AD465" s="15">
        <f>SUMPRODUCT(M465:X465,$M$6:$X$6)</f>
        <v/>
      </c>
      <c r="AE465" s="19" t="n"/>
    </row>
    <row r="466">
      <c r="A466" s="9" t="n">
        <v>607625</v>
      </c>
      <c r="B466" s="9" t="inlineStr">
        <is>
          <t>Seth Lugo</t>
        </is>
      </c>
      <c r="C466" s="9" t="inlineStr">
        <is>
          <t>KC</t>
        </is>
      </c>
      <c r="D466" s="9" t="n">
        <v>37</v>
      </c>
      <c r="E466" s="17" t="inlineStr">
        <is>
          <t>R</t>
        </is>
      </c>
      <c r="F466" s="17" t="n"/>
      <c r="G466" s="9" t="n">
        <v>321</v>
      </c>
      <c r="H466" s="9" t="n">
        <v>2644</v>
      </c>
      <c r="I466" s="9" t="inlineStr">
        <is>
          <t>Ace (SP1)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</f>
        <v/>
      </c>
      <c r="AD466" s="15">
        <f>SUMPRODUCT(M466:X466,$M$6:$X$6)</f>
        <v/>
      </c>
      <c r="AE466" s="19" t="n"/>
    </row>
    <row r="467">
      <c r="A467" s="9" t="n">
        <v>646241</v>
      </c>
      <c r="B467" s="9" t="inlineStr">
        <is>
          <t>Enmanuel De Jesus</t>
        </is>
      </c>
      <c r="C467" s="9" t="inlineStr">
        <is>
          <t>DET</t>
        </is>
      </c>
      <c r="D467" s="9" t="n">
        <v>30</v>
      </c>
      <c r="E467" s="17" t="inlineStr">
        <is>
          <t>L</t>
        </is>
      </c>
      <c r="F467" s="17" t="n"/>
      <c r="G467" s="9" t="n">
        <v>116</v>
      </c>
      <c r="H467" s="9" t="n">
        <v>150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</f>
        <v/>
      </c>
      <c r="AD467" s="15">
        <f>SUMPRODUCT(M467:X467,$M$6:$X$6)</f>
        <v/>
      </c>
      <c r="AE467" s="19" t="n"/>
    </row>
    <row r="468">
      <c r="A468" s="9" t="n">
        <v>671382</v>
      </c>
      <c r="B468" s="9" t="inlineStr">
        <is>
          <t>Cameron Foster</t>
        </is>
      </c>
      <c r="C468" s="9" t="inlineStr">
        <is>
          <t>BAL</t>
        </is>
      </c>
      <c r="D468" s="9" t="n">
        <v>28</v>
      </c>
      <c r="E468" s="17" t="inlineStr">
        <is>
          <t>R</t>
        </is>
      </c>
      <c r="F468" s="17" t="n"/>
      <c r="G468" s="9" t="n">
        <v>49</v>
      </c>
      <c r="H468" s="9" t="n">
        <v>49</v>
      </c>
      <c r="I468" s="9" t="inlineStr">
        <is>
          <t>Bullpen Depth Arm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</f>
        <v/>
      </c>
      <c r="AD468" s="15">
        <f>SUMPRODUCT(M468:X468,$M$6:$X$6)</f>
        <v/>
      </c>
      <c r="AE468" s="19" t="n"/>
    </row>
    <row r="469">
      <c r="A469" s="9" t="n">
        <v>678215</v>
      </c>
      <c r="B469" s="9" t="inlineStr">
        <is>
          <t>Luarbert Arias</t>
        </is>
      </c>
      <c r="C469" s="9" t="inlineStr">
        <is>
          <t>MIA</t>
        </is>
      </c>
      <c r="D469" s="9" t="n">
        <v>26</v>
      </c>
      <c r="E469" s="17" t="inlineStr">
        <is>
          <t>R</t>
        </is>
      </c>
      <c r="F469" s="17" t="n"/>
      <c r="G469" s="9" t="n">
        <v>55</v>
      </c>
      <c r="H469" s="9" t="n">
        <v>55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</f>
        <v/>
      </c>
      <c r="AD469" s="15">
        <f>SUMPRODUCT(M469:X469,$M$6:$X$6)</f>
        <v/>
      </c>
      <c r="AE469" s="19" t="n"/>
    </row>
    <row r="470">
      <c r="A470" s="9" t="n">
        <v>674384</v>
      </c>
      <c r="B470" s="9" t="inlineStr">
        <is>
          <t>Eduarniel Núñez</t>
        </is>
      </c>
      <c r="C470" s="9" t="inlineStr">
        <is>
          <t>OAK</t>
        </is>
      </c>
      <c r="D470" s="9" t="n">
        <v>28</v>
      </c>
      <c r="E470" s="17" t="inlineStr">
        <is>
          <t>R</t>
        </is>
      </c>
      <c r="F470" s="17" t="n"/>
      <c r="G470" s="9" t="n">
        <v>60</v>
      </c>
      <c r="H470" s="9" t="n">
        <v>60</v>
      </c>
      <c r="I470" s="9" t="inlineStr">
        <is>
          <t>Bullpen Depth Arm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</f>
        <v/>
      </c>
      <c r="AD470" s="15">
        <f>SUMPRODUCT(M470:X470,$M$6:$X$6)</f>
        <v/>
      </c>
      <c r="AE470" s="19" t="n"/>
    </row>
    <row r="471">
      <c r="A471" s="9" t="n">
        <v>605280</v>
      </c>
      <c r="B471" s="9" t="inlineStr">
        <is>
          <t>Clay Holmes</t>
        </is>
      </c>
      <c r="C471" s="9" t="inlineStr">
        <is>
          <t>NYM</t>
        </is>
      </c>
      <c r="D471" s="9" t="n">
        <v>34</v>
      </c>
      <c r="E471" s="17" t="inlineStr">
        <is>
          <t>R</t>
        </is>
      </c>
      <c r="F471" s="17" t="n"/>
      <c r="G471" s="9" t="n">
        <v>215</v>
      </c>
      <c r="H471" s="9" t="n">
        <v>1716</v>
      </c>
      <c r="I471" s="9" t="inlineStr">
        <is>
          <t>End-of-Rotation Starter (SP4-5)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</f>
        <v/>
      </c>
      <c r="AD471" s="15">
        <f>SUMPRODUCT(M471:X471,$M$6:$X$6)</f>
        <v/>
      </c>
      <c r="AE471" s="19" t="n"/>
    </row>
    <row r="472">
      <c r="A472" s="9" t="n">
        <v>702070</v>
      </c>
      <c r="B472" s="9" t="inlineStr">
        <is>
          <t>Noah Cameron</t>
        </is>
      </c>
      <c r="C472" s="9" t="inlineStr">
        <is>
          <t>KC</t>
        </is>
      </c>
      <c r="D472" s="9" t="n">
        <v>27</v>
      </c>
      <c r="E472" s="17" t="inlineStr">
        <is>
          <t>L</t>
        </is>
      </c>
      <c r="F472" s="17" t="n"/>
      <c r="G472" s="9" t="n">
        <v>275</v>
      </c>
      <c r="H472" s="9" t="n">
        <v>831</v>
      </c>
      <c r="I472" s="9" t="inlineStr">
        <is>
          <t>Mid-Rotation Starter (SP2-3)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</f>
        <v/>
      </c>
      <c r="AD472" s="15">
        <f>SUMPRODUCT(M472:X472,$M$6:$X$6)</f>
        <v/>
      </c>
      <c r="AE472" s="19" t="n"/>
    </row>
    <row r="473">
      <c r="A473" s="9" t="n">
        <v>694851</v>
      </c>
      <c r="B473" s="9" t="inlineStr">
        <is>
          <t>Andrew Hoffmann</t>
        </is>
      </c>
      <c r="C473" s="9" t="inlineStr">
        <is>
          <t>ARI</t>
        </is>
      </c>
      <c r="D473" s="9" t="n">
        <v>27</v>
      </c>
      <c r="E473" s="17" t="inlineStr">
        <is>
          <t>R</t>
        </is>
      </c>
      <c r="F473" s="17" t="n"/>
      <c r="G473" s="9" t="n">
        <v>59</v>
      </c>
      <c r="H473" s="9" t="n">
        <v>120</v>
      </c>
      <c r="I473" s="9" t="inlineStr">
        <is>
          <t>Bullpen Depth Arm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</f>
        <v/>
      </c>
      <c r="AD473" s="15">
        <f>SUMPRODUCT(M473:X473,$M$6:$X$6)</f>
        <v/>
      </c>
      <c r="AE473" s="19" t="n"/>
    </row>
    <row r="474">
      <c r="A474" s="9" t="n">
        <v>701519</v>
      </c>
      <c r="B474" s="9" t="inlineStr">
        <is>
          <t>Travis Adams</t>
        </is>
      </c>
      <c r="C474" s="9" t="inlineStr">
        <is>
          <t>MIN</t>
        </is>
      </c>
      <c r="D474" s="9" t="n">
        <v>27</v>
      </c>
      <c r="E474" s="17" t="inlineStr">
        <is>
          <t>R</t>
        </is>
      </c>
      <c r="F474" s="17" t="n"/>
      <c r="G474" s="9" t="n">
        <v>56</v>
      </c>
      <c r="H474" s="9" t="n">
        <v>214</v>
      </c>
      <c r="I474" s="9" t="inlineStr">
        <is>
          <t>Bullpen Depth Arm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</f>
        <v/>
      </c>
      <c r="AD474" s="15">
        <f>SUMPRODUCT(M474:X474,$M$6:$X$6)</f>
        <v/>
      </c>
      <c r="AE474" s="19" t="n"/>
    </row>
    <row r="475">
      <c r="A475" s="9" t="n">
        <v>681168</v>
      </c>
      <c r="B475" s="9" t="inlineStr">
        <is>
          <t>Luis Curvelo</t>
        </is>
      </c>
      <c r="C475" s="9" t="inlineStr">
        <is>
          <t>TEX</t>
        </is>
      </c>
      <c r="D475" s="9" t="n">
        <v>26</v>
      </c>
      <c r="E475" s="17" t="inlineStr">
        <is>
          <t>R</t>
        </is>
      </c>
      <c r="F475" s="17" t="n"/>
      <c r="G475" s="9" t="n">
        <v>34</v>
      </c>
      <c r="H475" s="9" t="n">
        <v>118</v>
      </c>
      <c r="I475" s="9" t="inlineStr">
        <is>
          <t>Bullpen Depth Arm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</f>
        <v/>
      </c>
      <c r="AD475" s="15">
        <f>SUMPRODUCT(M475:X475,$M$6:$X$6)</f>
        <v/>
      </c>
      <c r="AE475" s="19" t="n"/>
    </row>
    <row r="476">
      <c r="A476" s="9" t="n">
        <v>666201</v>
      </c>
      <c r="B476" s="9" t="inlineStr">
        <is>
          <t>Alek Manoah</t>
        </is>
      </c>
      <c r="C476" s="9" t="inlineStr">
        <is>
          <t>LAA</t>
        </is>
      </c>
      <c r="D476" s="9" t="n">
        <v>29</v>
      </c>
      <c r="E476" s="17" t="inlineStr">
        <is>
          <t>R</t>
        </is>
      </c>
      <c r="F476" s="17" t="n"/>
      <c r="G476" s="9" t="n">
        <v>39</v>
      </c>
      <c r="H476" s="9" t="n">
        <v>1343</v>
      </c>
      <c r="I476" s="9" t="inlineStr">
        <is>
          <t>End-of-Rotation Starter (SP4-5)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</f>
        <v/>
      </c>
      <c r="AD476" s="15">
        <f>SUMPRODUCT(M476:X476,$M$6:$X$6)</f>
        <v/>
      </c>
      <c r="AE476" s="19" t="n"/>
    </row>
    <row r="477">
      <c r="A477" s="9" t="n">
        <v>605135</v>
      </c>
      <c r="B477" s="9" t="inlineStr">
        <is>
          <t>Chris Bassitt</t>
        </is>
      </c>
      <c r="C477" s="9" t="inlineStr">
        <is>
          <t>BAL</t>
        </is>
      </c>
      <c r="D477" s="9" t="n">
        <v>38</v>
      </c>
      <c r="E477" s="17" t="inlineStr">
        <is>
          <t>R</t>
        </is>
      </c>
      <c r="F477" s="17" t="n"/>
      <c r="G477" s="9" t="n">
        <v>261</v>
      </c>
      <c r="H477" s="9" t="n">
        <v>3326</v>
      </c>
      <c r="I477" s="9" t="inlineStr">
        <is>
          <t>Mid-Rotation Starter (SP2-3)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</f>
        <v/>
      </c>
      <c r="AD477" s="15">
        <f>SUMPRODUCT(M477:X477,$M$6:$X$6)</f>
        <v/>
      </c>
      <c r="AE477" s="19" t="n"/>
    </row>
    <row r="478">
      <c r="A478" s="9" t="n">
        <v>608665</v>
      </c>
      <c r="B478" s="9" t="inlineStr">
        <is>
          <t>Kendall Graveman</t>
        </is>
      </c>
      <c r="C478" s="9" t="inlineStr">
        <is>
          <t>ARI</t>
        </is>
      </c>
      <c r="D478" s="9" t="n">
        <v>36</v>
      </c>
      <c r="E478" s="17" t="inlineStr">
        <is>
          <t>R</t>
        </is>
      </c>
      <c r="F478" s="17" t="n"/>
      <c r="G478" s="9" t="n">
        <v>82</v>
      </c>
      <c r="H478" s="9" t="n">
        <v>649</v>
      </c>
      <c r="I478" s="9" t="inlineStr">
        <is>
          <t>Bullpen Depth Arm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</f>
        <v/>
      </c>
      <c r="AD478" s="15">
        <f>SUMPRODUCT(M478:X478,$M$6:$X$6)</f>
        <v/>
      </c>
      <c r="AE478" s="19" t="n"/>
    </row>
    <row r="479">
      <c r="A479" s="9" t="n">
        <v>573009</v>
      </c>
      <c r="B479" s="9" t="inlineStr">
        <is>
          <t>Joe Mantiply</t>
        </is>
      </c>
      <c r="C479" s="9" t="inlineStr">
        <is>
          <t>TOR</t>
        </is>
      </c>
      <c r="D479" s="9" t="n">
        <v>36</v>
      </c>
      <c r="E479" s="17" t="inlineStr">
        <is>
          <t>L</t>
        </is>
      </c>
      <c r="F479" s="17" t="n"/>
      <c r="G479" s="9" t="n">
        <v>71</v>
      </c>
      <c r="H479" s="9" t="n">
        <v>772</v>
      </c>
      <c r="I479" s="9" t="inlineStr">
        <is>
          <t>Bullpen Depth Arm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</f>
        <v/>
      </c>
      <c r="AD479" s="15">
        <f>SUMPRODUCT(M479:X479,$M$6:$X$6)</f>
        <v/>
      </c>
      <c r="AE479" s="19" t="n"/>
    </row>
    <row r="480">
      <c r="A480" s="9" t="n">
        <v>679358</v>
      </c>
      <c r="B480" s="9" t="inlineStr">
        <is>
          <t>Eric Orze</t>
        </is>
      </c>
      <c r="C480" s="9" t="inlineStr">
        <is>
          <t>MIN</t>
        </is>
      </c>
      <c r="D480" s="9" t="n">
        <v>29</v>
      </c>
      <c r="E480" s="17" t="inlineStr">
        <is>
          <t>R</t>
        </is>
      </c>
      <c r="F480" s="17" t="n"/>
      <c r="G480" s="9" t="n">
        <v>141</v>
      </c>
      <c r="H480" s="9" t="n">
        <v>330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</f>
        <v/>
      </c>
      <c r="AD480" s="15">
        <f>SUMPRODUCT(M480:X480,$M$6:$X$6)</f>
        <v/>
      </c>
      <c r="AE480" s="19" t="n"/>
    </row>
    <row r="481">
      <c r="A481" s="9" t="n">
        <v>663855</v>
      </c>
      <c r="B481" s="9" t="inlineStr">
        <is>
          <t>Jordan Hicks</t>
        </is>
      </c>
      <c r="C481" s="9" t="inlineStr">
        <is>
          <t>CWS</t>
        </is>
      </c>
      <c r="D481" s="9" t="n">
        <v>30</v>
      </c>
      <c r="E481" s="17" t="inlineStr">
        <is>
          <t>R</t>
        </is>
      </c>
      <c r="F481" s="17" t="n"/>
      <c r="G481" s="9" t="n">
        <v>87</v>
      </c>
      <c r="H481" s="9" t="n">
        <v>1430</v>
      </c>
      <c r="I481" s="9" t="inlineStr">
        <is>
          <t>Bullpen Depth Arm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</f>
        <v/>
      </c>
      <c r="AD481" s="15">
        <f>SUMPRODUCT(M481:X481,$M$6:$X$6)</f>
        <v/>
      </c>
      <c r="AE481" s="19" t="n"/>
    </row>
    <row r="482">
      <c r="A482" s="9" t="n">
        <v>676051</v>
      </c>
      <c r="B482" s="9" t="inlineStr">
        <is>
          <t>Codi Heuer</t>
        </is>
      </c>
      <c r="C482" s="9" t="inlineStr">
        <is>
          <t>CLE</t>
        </is>
      </c>
      <c r="D482" s="9" t="n">
        <v>30</v>
      </c>
      <c r="E482" s="17" t="inlineStr">
        <is>
          <t>R</t>
        </is>
      </c>
      <c r="F482" s="17" t="n"/>
      <c r="G482" s="9" t="n">
        <v>34</v>
      </c>
      <c r="H482" s="9" t="n">
        <v>55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</f>
        <v/>
      </c>
      <c r="AD482" s="15">
        <f>SUMPRODUCT(M482:X482,$M$6:$X$6)</f>
        <v/>
      </c>
      <c r="AE482" s="19" t="n"/>
    </row>
    <row r="483">
      <c r="A483" s="9" t="n">
        <v>696131</v>
      </c>
      <c r="B483" s="9" t="inlineStr">
        <is>
          <t>Mason Black</t>
        </is>
      </c>
      <c r="C483" s="9" t="inlineStr">
        <is>
          <t>KC</t>
        </is>
      </c>
      <c r="D483" s="9" t="n">
        <v>27</v>
      </c>
      <c r="E483" s="17" t="inlineStr">
        <is>
          <t>R</t>
        </is>
      </c>
      <c r="F483" s="17" t="n"/>
      <c r="G483" s="9" t="n">
        <v>41</v>
      </c>
      <c r="H483" s="9" t="n">
        <v>229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</f>
        <v/>
      </c>
      <c r="AD483" s="15">
        <f>SUMPRODUCT(M483:X483,$M$6:$X$6)</f>
        <v/>
      </c>
      <c r="AE483" s="19" t="n"/>
    </row>
    <row r="484">
      <c r="A484" s="9" t="n">
        <v>681347</v>
      </c>
      <c r="B484" s="9" t="inlineStr">
        <is>
          <t>Mike Burrows</t>
        </is>
      </c>
      <c r="C484" s="9" t="inlineStr">
        <is>
          <t>HOU</t>
        </is>
      </c>
      <c r="D484" s="9" t="n">
        <v>27</v>
      </c>
      <c r="E484" s="17" t="inlineStr">
        <is>
          <t>R</t>
        </is>
      </c>
      <c r="F484" s="17" t="n"/>
      <c r="G484" s="9" t="n">
        <v>326</v>
      </c>
      <c r="H484" s="9" t="n">
        <v>742</v>
      </c>
      <c r="I484" s="9" t="inlineStr">
        <is>
          <t>End-of-Rotation Starter (SP4-5)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</f>
        <v/>
      </c>
      <c r="AD484" s="15">
        <f>SUMPRODUCT(M484:X484,$M$6:$X$6)</f>
        <v/>
      </c>
      <c r="AE484" s="19" t="n"/>
    </row>
    <row r="485">
      <c r="A485" s="9" t="n">
        <v>664199</v>
      </c>
      <c r="B485" s="9" t="inlineStr">
        <is>
          <t>Taylor Clarke</t>
        </is>
      </c>
      <c r="C485" s="9" t="inlineStr">
        <is>
          <t>ARI</t>
        </is>
      </c>
      <c r="D485" s="9" t="n">
        <v>34</v>
      </c>
      <c r="E485" s="17" t="inlineStr">
        <is>
          <t>R</t>
        </is>
      </c>
      <c r="F485" s="17" t="n"/>
      <c r="G485" s="9" t="n">
        <v>106</v>
      </c>
      <c r="H485" s="9" t="n">
        <v>781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</f>
        <v/>
      </c>
      <c r="AD485" s="15">
        <f>SUMPRODUCT(M485:X485,$M$6:$X$6)</f>
        <v/>
      </c>
      <c r="AE485" s="19" t="n"/>
    </row>
    <row r="486">
      <c r="A486" s="9" t="n">
        <v>623433</v>
      </c>
      <c r="B486" s="9" t="inlineStr">
        <is>
          <t>Nick Anderson</t>
        </is>
      </c>
      <c r="C486" s="9" t="inlineStr">
        <is>
          <t>COL</t>
        </is>
      </c>
      <c r="D486" s="9" t="n">
        <v>36</v>
      </c>
      <c r="E486" s="17" t="inlineStr">
        <is>
          <t>R</t>
        </is>
      </c>
      <c r="F486" s="17" t="n"/>
      <c r="G486" s="9" t="n">
        <v>61</v>
      </c>
      <c r="H486" s="9" t="n">
        <v>355</v>
      </c>
      <c r="I486" s="9" t="inlineStr">
        <is>
          <t>Middle Relief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</f>
        <v/>
      </c>
      <c r="AD486" s="15">
        <f>SUMPRODUCT(M486:X486,$M$6:$X$6)</f>
        <v/>
      </c>
      <c r="AE486" s="19" t="n"/>
    </row>
    <row r="487">
      <c r="A487" s="9" t="n">
        <v>680767</v>
      </c>
      <c r="B487" s="9" t="inlineStr">
        <is>
          <t>Victor Vodnik</t>
        </is>
      </c>
      <c r="C487" s="9" t="inlineStr">
        <is>
          <t>COL</t>
        </is>
      </c>
      <c r="D487" s="9" t="n">
        <v>27</v>
      </c>
      <c r="E487" s="17" t="inlineStr">
        <is>
          <t>R</t>
        </is>
      </c>
      <c r="F487" s="17" t="n"/>
      <c r="G487" s="9" t="n">
        <v>90</v>
      </c>
      <c r="H487" s="9" t="n">
        <v>669</v>
      </c>
      <c r="I487" s="9" t="inlineStr">
        <is>
          <t>Middle Relief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</f>
        <v/>
      </c>
      <c r="AD487" s="15">
        <f>SUMPRODUCT(M487:X487,$M$6:$X$6)</f>
        <v/>
      </c>
      <c r="AE487" s="19" t="n"/>
    </row>
    <row r="488">
      <c r="A488" s="9" t="n">
        <v>656222</v>
      </c>
      <c r="B488" s="9" t="inlineStr">
        <is>
          <t>Jalen Beeks</t>
        </is>
      </c>
      <c r="C488" s="9" t="inlineStr">
        <is>
          <t>TEX</t>
        </is>
      </c>
      <c r="D488" s="9" t="n">
        <v>33</v>
      </c>
      <c r="E488" s="17" t="inlineStr">
        <is>
          <t>L</t>
        </is>
      </c>
      <c r="F488" s="17" t="n"/>
      <c r="G488" s="9" t="n">
        <v>113</v>
      </c>
      <c r="H488" s="9" t="n">
        <v>1098</v>
      </c>
      <c r="I488" s="9" t="inlineStr">
        <is>
          <t>Bullpen Depth Arm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</f>
        <v/>
      </c>
      <c r="AD488" s="15">
        <f>SUMPRODUCT(M488:X488,$M$6:$X$6)</f>
        <v/>
      </c>
      <c r="AE488" s="19" t="n"/>
    </row>
    <row r="489">
      <c r="A489" s="9" t="n">
        <v>534910</v>
      </c>
      <c r="B489" s="9" t="inlineStr">
        <is>
          <t>Jesse Hahn</t>
        </is>
      </c>
      <c r="C489" s="9" t="inlineStr">
        <is>
          <t>SEA</t>
        </is>
      </c>
      <c r="D489" s="9" t="n">
        <v>37</v>
      </c>
      <c r="E489" s="17" t="inlineStr">
        <is>
          <t>R</t>
        </is>
      </c>
      <c r="F489" s="17" t="n"/>
      <c r="G489" s="9" t="n">
        <v>25</v>
      </c>
      <c r="H489" s="9" t="n">
        <v>25</v>
      </c>
      <c r="I489" s="9" t="inlineStr">
        <is>
          <t>Bullpen Depth Arm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</f>
        <v/>
      </c>
      <c r="AD489" s="15">
        <f>SUMPRODUCT(M489:X489,$M$6:$X$6)</f>
        <v/>
      </c>
      <c r="AE489" s="19" t="n"/>
    </row>
    <row r="490">
      <c r="A490" s="9" t="n">
        <v>680604</v>
      </c>
      <c r="B490" s="9" t="inlineStr">
        <is>
          <t>Blas Castaño</t>
        </is>
      </c>
      <c r="C490" s="9" t="inlineStr">
        <is>
          <t>COL</t>
        </is>
      </c>
      <c r="D490" s="9" t="n">
        <v>28</v>
      </c>
      <c r="E490" s="17" t="inlineStr">
        <is>
          <t>R</t>
        </is>
      </c>
      <c r="F490" s="17" t="n"/>
      <c r="G490" s="9" t="n">
        <v>65</v>
      </c>
      <c r="H490" s="9" t="n">
        <v>81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</f>
        <v/>
      </c>
      <c r="AD490" s="15">
        <f>SUMPRODUCT(M490:X490,$M$6:$X$6)</f>
        <v/>
      </c>
      <c r="AE490" s="19" t="n"/>
    </row>
    <row r="491">
      <c r="A491" s="9" t="n">
        <v>608334</v>
      </c>
      <c r="B491" s="9" t="inlineStr">
        <is>
          <t>Carson Fulmer</t>
        </is>
      </c>
      <c r="C491" s="9" t="inlineStr">
        <is>
          <t>LAA</t>
        </is>
      </c>
      <c r="D491" s="9" t="n">
        <v>33</v>
      </c>
      <c r="E491" s="17" t="inlineStr">
        <is>
          <t>R</t>
        </is>
      </c>
      <c r="F491" s="17" t="n"/>
      <c r="G491" s="9" t="n">
        <v>123</v>
      </c>
      <c r="H491" s="9" t="n">
        <v>541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</f>
        <v/>
      </c>
      <c r="AD491" s="15">
        <f>SUMPRODUCT(M491:X491,$M$6:$X$6)</f>
        <v/>
      </c>
      <c r="AE491" s="19" t="n"/>
    </row>
    <row r="492">
      <c r="A492" s="9" t="n">
        <v>663947</v>
      </c>
      <c r="B492" s="9" t="inlineStr">
        <is>
          <t>Tyler Holton</t>
        </is>
      </c>
      <c r="C492" s="9" t="inlineStr">
        <is>
          <t>DET</t>
        </is>
      </c>
      <c r="D492" s="9" t="n">
        <v>31</v>
      </c>
      <c r="E492" s="17" t="inlineStr">
        <is>
          <t>L</t>
        </is>
      </c>
      <c r="F492" s="17" t="n"/>
      <c r="G492" s="9" t="n">
        <v>125</v>
      </c>
      <c r="H492" s="9" t="n">
        <v>1154</v>
      </c>
      <c r="I492" s="9" t="inlineStr">
        <is>
          <t>Late Inning RP (Setup)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</f>
        <v/>
      </c>
      <c r="AD492" s="15">
        <f>SUMPRODUCT(M492:X492,$M$6:$X$6)</f>
        <v/>
      </c>
      <c r="AE492" s="19" t="n"/>
    </row>
    <row r="493">
      <c r="A493" s="9" t="n">
        <v>687362</v>
      </c>
      <c r="B493" s="9" t="inlineStr">
        <is>
          <t>Connor Gillispie</t>
        </is>
      </c>
      <c r="C493" s="9" t="inlineStr">
        <is>
          <t>MIA</t>
        </is>
      </c>
      <c r="D493" s="9" t="n">
        <v>29</v>
      </c>
      <c r="E493" s="17" t="inlineStr">
        <is>
          <t>R</t>
        </is>
      </c>
      <c r="F493" s="17" t="n"/>
      <c r="G493" s="9" t="n">
        <v>123</v>
      </c>
      <c r="H493" s="9" t="n">
        <v>155</v>
      </c>
      <c r="I493" s="9" t="inlineStr">
        <is>
          <t>End-of-Rotation Starter (SP4-5)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</f>
        <v/>
      </c>
      <c r="AD493" s="15">
        <f>SUMPRODUCT(M493:X493,$M$6:$X$6)</f>
        <v/>
      </c>
      <c r="AE493" s="19" t="n"/>
    </row>
    <row r="494">
      <c r="A494" s="9" t="n">
        <v>596001</v>
      </c>
      <c r="B494" s="9" t="inlineStr">
        <is>
          <t>Jakob Junis</t>
        </is>
      </c>
      <c r="C494" s="9" t="inlineStr">
        <is>
          <t>TEX</t>
        </is>
      </c>
      <c r="D494" s="9" t="n">
        <v>34</v>
      </c>
      <c r="E494" s="17" t="inlineStr">
        <is>
          <t>R</t>
        </is>
      </c>
      <c r="F494" s="17" t="n"/>
      <c r="G494" s="9" t="n">
        <v>102</v>
      </c>
      <c r="H494" s="9" t="n">
        <v>1474</v>
      </c>
      <c r="I494" s="9" t="inlineStr">
        <is>
          <t>Late Inning RP (Setup)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</f>
        <v/>
      </c>
      <c r="AD494" s="15">
        <f>SUMPRODUCT(M494:X494,$M$6:$X$6)</f>
        <v/>
      </c>
      <c r="AE494" s="19" t="n"/>
    </row>
    <row r="495">
      <c r="A495" s="9" t="n">
        <v>694297</v>
      </c>
      <c r="B495" s="9" t="inlineStr">
        <is>
          <t>Brandon Pfaadt</t>
        </is>
      </c>
      <c r="C495" s="9" t="inlineStr">
        <is>
          <t>ARI</t>
        </is>
      </c>
      <c r="D495" s="9" t="n">
        <v>28</v>
      </c>
      <c r="E495" s="17" t="inlineStr">
        <is>
          <t>R</t>
        </is>
      </c>
      <c r="F495" s="17" t="n"/>
      <c r="G495" s="9" t="n">
        <v>171</v>
      </c>
      <c r="H495" s="9" t="n">
        <v>2119</v>
      </c>
      <c r="I495" s="9" t="inlineStr">
        <is>
          <t>Mid-Rotation Starter (SP2-3)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</f>
        <v/>
      </c>
      <c r="AD495" s="15">
        <f>SUMPRODUCT(M495:X495,$M$6:$X$6)</f>
        <v/>
      </c>
      <c r="AE495" s="19" t="n"/>
    </row>
    <row r="496">
      <c r="A496" s="9" t="n">
        <v>663903</v>
      </c>
      <c r="B496" s="9" t="inlineStr">
        <is>
          <t>Brady Singer</t>
        </is>
      </c>
      <c r="C496" s="9" t="inlineStr">
        <is>
          <t>CIN</t>
        </is>
      </c>
      <c r="D496" s="9" t="n">
        <v>30</v>
      </c>
      <c r="E496" s="17" t="inlineStr">
        <is>
          <t>R</t>
        </is>
      </c>
      <c r="F496" s="17" t="n"/>
      <c r="G496" s="9" t="n">
        <v>258</v>
      </c>
      <c r="H496" s="9" t="n">
        <v>3059</v>
      </c>
      <c r="I496" s="9" t="inlineStr">
        <is>
          <t>Mid-Rotation Starter (SP2-3)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</f>
        <v/>
      </c>
      <c r="AD496" s="15">
        <f>SUMPRODUCT(M496:X496,$M$6:$X$6)</f>
        <v/>
      </c>
      <c r="AE496" s="19" t="n"/>
    </row>
    <row r="497">
      <c r="A497" s="9" t="n">
        <v>666214</v>
      </c>
      <c r="B497" s="9" t="inlineStr">
        <is>
          <t>Joey Wentz</t>
        </is>
      </c>
      <c r="C497" s="9" t="inlineStr">
        <is>
          <t>ATL</t>
        </is>
      </c>
      <c r="D497" s="9" t="n">
        <v>29</v>
      </c>
      <c r="E497" s="17" t="inlineStr">
        <is>
          <t>L</t>
        </is>
      </c>
      <c r="F497" s="17" t="n"/>
      <c r="G497" s="9" t="n">
        <v>442</v>
      </c>
      <c r="H497" s="9" t="n">
        <v>1373</v>
      </c>
      <c r="I497" s="9" t="inlineStr">
        <is>
          <t>Bullpen Depth Arm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</f>
        <v/>
      </c>
      <c r="AD497" s="15">
        <f>SUMPRODUCT(M497:X497,$M$6:$X$6)</f>
        <v/>
      </c>
      <c r="AE497" s="19" t="n"/>
    </row>
    <row r="498">
      <c r="A498" s="9" t="n">
        <v>656288</v>
      </c>
      <c r="B498" s="9" t="inlineStr">
        <is>
          <t>Griffin Canning</t>
        </is>
      </c>
      <c r="C498" s="9" t="inlineStr">
        <is>
          <t>SD</t>
        </is>
      </c>
      <c r="D498" s="9" t="n">
        <v>31</v>
      </c>
      <c r="E498" s="17" t="inlineStr">
        <is>
          <t>R</t>
        </is>
      </c>
      <c r="F498" s="17" t="n"/>
      <c r="G498" s="9" t="n">
        <v>139</v>
      </c>
      <c r="H498" s="9" t="n">
        <v>1742</v>
      </c>
      <c r="I498" s="9" t="inlineStr">
        <is>
          <t>Mid-Rotation Starter (SP2-3)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</f>
        <v/>
      </c>
      <c r="AD498" s="15">
        <f>SUMPRODUCT(M498:X498,$M$6:$X$6)</f>
        <v/>
      </c>
      <c r="AE498" s="19" t="n"/>
    </row>
    <row r="499">
      <c r="A499" s="9" t="n">
        <v>687330</v>
      </c>
      <c r="B499" s="9" t="inlineStr">
        <is>
          <t>Kevin Kelly</t>
        </is>
      </c>
      <c r="C499" s="9" t="inlineStr">
        <is>
          <t>TB</t>
        </is>
      </c>
      <c r="D499" s="9" t="n">
        <v>29</v>
      </c>
      <c r="E499" s="17" t="inlineStr">
        <is>
          <t>R</t>
        </is>
      </c>
      <c r="F499" s="17" t="n"/>
      <c r="G499" s="9" t="n">
        <v>110</v>
      </c>
      <c r="H499" s="9" t="n">
        <v>835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</f>
        <v/>
      </c>
      <c r="AD499" s="15">
        <f>SUMPRODUCT(M499:X499,$M$6:$X$6)</f>
        <v/>
      </c>
      <c r="AE499" s="19" t="n"/>
    </row>
    <row r="500">
      <c r="A500" s="9" t="n">
        <v>656605</v>
      </c>
      <c r="B500" s="9" t="inlineStr">
        <is>
          <t>Mitch Keller</t>
        </is>
      </c>
      <c r="C500" s="9" t="inlineStr">
        <is>
          <t>PIT</t>
        </is>
      </c>
      <c r="D500" s="9" t="n">
        <v>31</v>
      </c>
      <c r="E500" s="17" t="inlineStr">
        <is>
          <t>R</t>
        </is>
      </c>
      <c r="F500" s="17" t="n"/>
      <c r="G500" s="9" t="n">
        <v>305</v>
      </c>
      <c r="H500" s="9" t="n">
        <v>3339</v>
      </c>
      <c r="I500" s="9" t="inlineStr">
        <is>
          <t>Mid-Rotation Starter (SP2-3)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</f>
        <v/>
      </c>
      <c r="AD500" s="15">
        <f>SUMPRODUCT(M500:X500,$M$6:$X$6)</f>
        <v/>
      </c>
      <c r="AE500" s="19" t="n"/>
    </row>
    <row r="501">
      <c r="A501" s="9" t="n">
        <v>660730</v>
      </c>
      <c r="B501" s="9" t="inlineStr">
        <is>
          <t>Elvin Rodríguez</t>
        </is>
      </c>
      <c r="C501" s="9" t="inlineStr">
        <is>
          <t>BAL</t>
        </is>
      </c>
      <c r="D501" s="9" t="n">
        <v>29</v>
      </c>
      <c r="E501" s="17" t="inlineStr">
        <is>
          <t>R</t>
        </is>
      </c>
      <c r="F501" s="17" t="n"/>
      <c r="G501" s="9" t="n">
        <v>90</v>
      </c>
      <c r="H501" s="9" t="n">
        <v>243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</f>
        <v/>
      </c>
      <c r="AD501" s="15">
        <f>SUMPRODUCT(M501:X501,$M$6:$X$6)</f>
        <v/>
      </c>
      <c r="AE501" s="19" t="n"/>
    </row>
    <row r="502">
      <c r="A502" s="9" t="n">
        <v>678821</v>
      </c>
      <c r="B502" s="9" t="inlineStr">
        <is>
          <t>Luis Peralta</t>
        </is>
      </c>
      <c r="C502" s="9" t="inlineStr">
        <is>
          <t>COL</t>
        </is>
      </c>
      <c r="D502" s="9" t="n">
        <v>26</v>
      </c>
      <c r="E502" s="17" t="inlineStr">
        <is>
          <t>L</t>
        </is>
      </c>
      <c r="F502" s="17" t="n"/>
      <c r="G502" s="9" t="n">
        <v>101</v>
      </c>
      <c r="H502" s="9" t="n">
        <v>150</v>
      </c>
      <c r="I502" s="9" t="inlineStr">
        <is>
          <t>Bullpen Depth Arm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</f>
        <v/>
      </c>
      <c r="AD502" s="15">
        <f>SUMPRODUCT(M502:X502,$M$6:$X$6)</f>
        <v/>
      </c>
      <c r="AE502" s="19" t="n"/>
    </row>
    <row r="503">
      <c r="A503" s="9" t="n">
        <v>608723</v>
      </c>
      <c r="B503" s="9" t="inlineStr">
        <is>
          <t>Austin Voth</t>
        </is>
      </c>
      <c r="C503" s="9" t="inlineStr">
        <is>
          <t>TOR</t>
        </is>
      </c>
      <c r="D503" s="9" t="n">
        <v>35</v>
      </c>
      <c r="E503" s="17" t="inlineStr">
        <is>
          <t>R</t>
        </is>
      </c>
      <c r="F503" s="17" t="n"/>
      <c r="G503" s="9" t="n">
        <v>31</v>
      </c>
      <c r="H503" s="9" t="n">
        <v>881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</f>
        <v/>
      </c>
      <c r="AD503" s="15">
        <f>SUMPRODUCT(M503:X503,$M$6:$X$6)</f>
        <v/>
      </c>
      <c r="AE503" s="19" t="n"/>
    </row>
    <row r="504">
      <c r="A504" s="9" t="n">
        <v>701719</v>
      </c>
      <c r="B504" s="9" t="inlineStr">
        <is>
          <t>Tyler Samaniego</t>
        </is>
      </c>
      <c r="C504" s="9" t="inlineStr">
        <is>
          <t>BOS</t>
        </is>
      </c>
      <c r="D504" s="9" t="n">
        <v>28</v>
      </c>
      <c r="E504" s="17" t="inlineStr">
        <is>
          <t>L</t>
        </is>
      </c>
      <c r="F504" s="17" t="n"/>
      <c r="G504" s="9" t="n">
        <v>90</v>
      </c>
      <c r="H504" s="9" t="n">
        <v>90</v>
      </c>
      <c r="I504" s="9" t="inlineStr">
        <is>
          <t>Middle Relief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</f>
        <v/>
      </c>
      <c r="AD504" s="15">
        <f>SUMPRODUCT(M504:X504,$M$6:$X$6)</f>
        <v/>
      </c>
      <c r="AE504" s="19" t="n"/>
    </row>
    <row r="505">
      <c r="A505" s="9" t="n">
        <v>641835</v>
      </c>
      <c r="B505" s="9" t="inlineStr">
        <is>
          <t>Tim Mayza</t>
        </is>
      </c>
      <c r="C505" s="9" t="inlineStr">
        <is>
          <t>PHI</t>
        </is>
      </c>
      <c r="D505" s="9" t="n">
        <v>35</v>
      </c>
      <c r="E505" s="17" t="inlineStr">
        <is>
          <t>L</t>
        </is>
      </c>
      <c r="F505" s="17" t="n"/>
      <c r="G505" s="9" t="n">
        <v>115</v>
      </c>
      <c r="H505" s="9" t="n">
        <v>792</v>
      </c>
      <c r="I505" s="9" t="inlineStr">
        <is>
          <t>Middle Relief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</f>
        <v/>
      </c>
      <c r="AD505" s="15">
        <f>SUMPRODUCT(M505:X505,$M$6:$X$6)</f>
        <v/>
      </c>
      <c r="AE505" s="19" t="n"/>
    </row>
    <row r="506">
      <c r="A506" s="9" t="n">
        <v>669160</v>
      </c>
      <c r="B506" s="9" t="inlineStr">
        <is>
          <t>Dustin May</t>
        </is>
      </c>
      <c r="C506" s="9" t="inlineStr">
        <is>
          <t>STL</t>
        </is>
      </c>
      <c r="D506" s="9" t="n">
        <v>29</v>
      </c>
      <c r="E506" s="17" t="inlineStr">
        <is>
          <t>R</t>
        </is>
      </c>
      <c r="F506" s="17" t="n"/>
      <c r="G506" s="9" t="n">
        <v>301</v>
      </c>
      <c r="H506" s="9" t="n">
        <v>1199</v>
      </c>
      <c r="I506" s="9" t="inlineStr">
        <is>
          <t>Mid-Rotation Starter (SP2-3)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</f>
        <v/>
      </c>
      <c r="AD506" s="15">
        <f>SUMPRODUCT(M506:X506,$M$6:$X$6)</f>
        <v/>
      </c>
      <c r="AE506" s="19" t="n"/>
    </row>
    <row r="507">
      <c r="A507" s="9" t="n">
        <v>663554</v>
      </c>
      <c r="B507" s="9" t="inlineStr">
        <is>
          <t>Casey Mize</t>
        </is>
      </c>
      <c r="C507" s="9" t="inlineStr">
        <is>
          <t>DET</t>
        </is>
      </c>
      <c r="D507" s="9" t="n">
        <v>30</v>
      </c>
      <c r="E507" s="17" t="inlineStr">
        <is>
          <t>R</t>
        </is>
      </c>
      <c r="F507" s="17" t="n"/>
      <c r="G507" s="9" t="n">
        <v>185</v>
      </c>
      <c r="H507" s="9" t="n">
        <v>1309</v>
      </c>
      <c r="I507" s="9" t="inlineStr">
        <is>
          <t>Mid-Rotation Starter (SP2-3)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</f>
        <v/>
      </c>
      <c r="AD507" s="15">
        <f>SUMPRODUCT(M507:X507,$M$6:$X$6)</f>
        <v/>
      </c>
      <c r="AE507" s="19" t="n"/>
    </row>
    <row r="508">
      <c r="A508" s="9" t="n">
        <v>608717</v>
      </c>
      <c r="B508" s="9" t="inlineStr">
        <is>
          <t>Chris Stratton</t>
        </is>
      </c>
      <c r="C508" s="9" t="inlineStr">
        <is>
          <t>LAD</t>
        </is>
      </c>
      <c r="D508" s="9" t="n">
        <v>36</v>
      </c>
      <c r="E508" s="17" t="inlineStr">
        <is>
          <t>R</t>
        </is>
      </c>
      <c r="F508" s="17" t="n"/>
      <c r="G508" s="9" t="n">
        <v>104</v>
      </c>
      <c r="H508" s="9" t="n">
        <v>978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</f>
        <v/>
      </c>
      <c r="AD508" s="15">
        <f>SUMPRODUCT(M508:X508,$M$6:$X$6)</f>
        <v/>
      </c>
      <c r="AE508" s="19" t="n"/>
    </row>
    <row r="509">
      <c r="A509" s="9" t="n">
        <v>689546</v>
      </c>
      <c r="B509" s="9" t="inlineStr">
        <is>
          <t>Nick Davila</t>
        </is>
      </c>
      <c r="C509" s="9" t="inlineStr">
        <is>
          <t>SEA</t>
        </is>
      </c>
      <c r="D509" s="9" t="n">
        <v>28</v>
      </c>
      <c r="E509" s="17" t="inlineStr">
        <is>
          <t>R</t>
        </is>
      </c>
      <c r="F509" s="17" t="n"/>
      <c r="G509" s="9" t="n">
        <v>34</v>
      </c>
      <c r="H509" s="9" t="n">
        <v>34</v>
      </c>
      <c r="I509" s="9" t="inlineStr">
        <is>
          <t>Bullpen Depth Arm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</f>
        <v/>
      </c>
      <c r="AD509" s="15">
        <f>SUMPRODUCT(M509:X509,$M$6:$X$6)</f>
        <v/>
      </c>
      <c r="AE509" s="19" t="n"/>
    </row>
    <row r="510">
      <c r="A510" s="9" t="n">
        <v>554431</v>
      </c>
      <c r="B510" s="9" t="inlineStr">
        <is>
          <t>Tyler Matzek</t>
        </is>
      </c>
      <c r="C510" s="9" t="inlineStr">
        <is>
          <t>NYY</t>
        </is>
      </c>
      <c r="D510" s="9" t="n">
        <v>36</v>
      </c>
      <c r="E510" s="17" t="inlineStr">
        <is>
          <t>L</t>
        </is>
      </c>
      <c r="F510" s="17" t="n"/>
      <c r="G510" s="9" t="n">
        <v>35</v>
      </c>
      <c r="H510" s="9" t="n">
        <v>267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</f>
        <v/>
      </c>
      <c r="AD510" s="15">
        <f>SUMPRODUCT(M510:X510,$M$6:$X$6)</f>
        <v/>
      </c>
      <c r="AE510" s="19" t="n"/>
    </row>
    <row r="511">
      <c r="A511" s="9" t="n">
        <v>676775</v>
      </c>
      <c r="B511" s="9" t="inlineStr">
        <is>
          <t>Keaton Winn</t>
        </is>
      </c>
      <c r="C511" s="9" t="inlineStr">
        <is>
          <t>SF</t>
        </is>
      </c>
      <c r="D511" s="9" t="n">
        <v>29</v>
      </c>
      <c r="E511" s="17" t="inlineStr">
        <is>
          <t>R</t>
        </is>
      </c>
      <c r="F511" s="17" t="n"/>
      <c r="G511" s="9" t="n">
        <v>119</v>
      </c>
      <c r="H511" s="9" t="n">
        <v>571</v>
      </c>
      <c r="I511" s="9" t="inlineStr">
        <is>
          <t>Bullpen Depth Arm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</f>
        <v/>
      </c>
      <c r="AD511" s="15">
        <f>SUMPRODUCT(M511:X511,$M$6:$X$6)</f>
        <v/>
      </c>
      <c r="AE511" s="19" t="n"/>
    </row>
    <row r="512">
      <c r="A512" s="9" t="n">
        <v>605347</v>
      </c>
      <c r="B512" s="9" t="inlineStr">
        <is>
          <t>Jorge López</t>
        </is>
      </c>
      <c r="C512" s="9" t="inlineStr">
        <is>
          <t>WSH</t>
        </is>
      </c>
      <c r="D512" s="9" t="n">
        <v>34</v>
      </c>
      <c r="E512" s="17" t="inlineStr">
        <is>
          <t>R</t>
        </is>
      </c>
      <c r="F512" s="17" t="n"/>
      <c r="G512" s="9" t="n">
        <v>106</v>
      </c>
      <c r="H512" s="9" t="n">
        <v>887</v>
      </c>
      <c r="I512" s="9" t="inlineStr">
        <is>
          <t>Bullpen Depth Arm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</f>
        <v/>
      </c>
      <c r="AD512" s="15">
        <f>SUMPRODUCT(M512:X512,$M$6:$X$6)</f>
        <v/>
      </c>
      <c r="AE512" s="19" t="n"/>
    </row>
    <row r="513">
      <c r="A513" s="9" t="n">
        <v>686610</v>
      </c>
      <c r="B513" s="9" t="inlineStr">
        <is>
          <t>Ken Waldichuk</t>
        </is>
      </c>
      <c r="C513" s="9" t="inlineStr">
        <is>
          <t>WSH</t>
        </is>
      </c>
      <c r="D513" s="9" t="n">
        <v>29</v>
      </c>
      <c r="E513" s="17" t="inlineStr">
        <is>
          <t>L</t>
        </is>
      </c>
      <c r="F513" s="17" t="n"/>
      <c r="G513" s="9" t="n">
        <v>41</v>
      </c>
      <c r="H513" s="9" t="n">
        <v>826</v>
      </c>
      <c r="I513" s="9" t="inlineStr">
        <is>
          <t>Bullpen Depth Arm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</f>
        <v/>
      </c>
      <c r="AD513" s="15">
        <f>SUMPRODUCT(M513:X513,$M$6:$X$6)</f>
        <v/>
      </c>
      <c r="AE513" s="19" t="n"/>
    </row>
    <row r="514">
      <c r="A514" s="9" t="n">
        <v>620454</v>
      </c>
      <c r="B514" s="9" t="inlineStr">
        <is>
          <t>José Castillo</t>
        </is>
      </c>
      <c r="C514" s="9" t="inlineStr">
        <is>
          <t>BAL</t>
        </is>
      </c>
      <c r="D514" s="9" t="n">
        <v>31</v>
      </c>
      <c r="E514" s="17" t="inlineStr">
        <is>
          <t>L</t>
        </is>
      </c>
      <c r="F514" s="17" t="n"/>
      <c r="G514" s="9" t="n">
        <v>149</v>
      </c>
      <c r="H514" s="9" t="n">
        <v>160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</f>
        <v/>
      </c>
      <c r="AD514" s="15">
        <f>SUMPRODUCT(M514:X514,$M$6:$X$6)</f>
        <v/>
      </c>
      <c r="AE514" s="19" t="n"/>
    </row>
    <row r="515">
      <c r="A515" s="9" t="n">
        <v>612434</v>
      </c>
      <c r="B515" s="9" t="inlineStr">
        <is>
          <t>Miguel Castro</t>
        </is>
      </c>
      <c r="C515" s="9" t="inlineStr">
        <is>
          <t>CWS</t>
        </is>
      </c>
      <c r="D515" s="9" t="n">
        <v>32</v>
      </c>
      <c r="E515" s="17" t="inlineStr">
        <is>
          <t>R</t>
        </is>
      </c>
      <c r="F515" s="17" t="n"/>
      <c r="G515" s="9" t="n">
        <v>28</v>
      </c>
      <c r="H515" s="9" t="n">
        <v>491</v>
      </c>
      <c r="I515" s="9" t="inlineStr">
        <is>
          <t>Bullpen Depth Arm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</f>
        <v/>
      </c>
      <c r="AD515" s="15">
        <f>SUMPRODUCT(M515:X515,$M$6:$X$6)</f>
        <v/>
      </c>
      <c r="AE515" s="19" t="n"/>
    </row>
    <row r="516">
      <c r="A516" s="9" t="n">
        <v>669721</v>
      </c>
      <c r="B516" s="9" t="inlineStr">
        <is>
          <t>Davis Daniel</t>
        </is>
      </c>
      <c r="C516" s="9" t="inlineStr">
        <is>
          <t>ATL</t>
        </is>
      </c>
      <c r="D516" s="9" t="n">
        <v>30</v>
      </c>
      <c r="E516" s="17" t="inlineStr">
        <is>
          <t>R</t>
        </is>
      </c>
      <c r="F516" s="17" t="n"/>
      <c r="G516" s="9" t="n">
        <v>46</v>
      </c>
      <c r="H516" s="9" t="n">
        <v>232</v>
      </c>
      <c r="I516" s="9" t="inlineStr">
        <is>
          <t>End-of-Rotation Starter (SP4-5)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</f>
        <v/>
      </c>
      <c r="AD516" s="15">
        <f>SUMPRODUCT(M516:X516,$M$6:$X$6)</f>
        <v/>
      </c>
      <c r="AE516" s="19" t="n"/>
    </row>
    <row r="517">
      <c r="A517" s="9" t="n">
        <v>664141</v>
      </c>
      <c r="B517" s="9" t="inlineStr">
        <is>
          <t>JT Brubaker</t>
        </is>
      </c>
      <c r="C517" s="9" t="inlineStr">
        <is>
          <t>SF</t>
        </is>
      </c>
      <c r="D517" s="9" t="n">
        <v>33</v>
      </c>
      <c r="E517" s="17" t="inlineStr">
        <is>
          <t>R</t>
        </is>
      </c>
      <c r="F517" s="17" t="n"/>
      <c r="G517" s="9" t="n">
        <v>141</v>
      </c>
      <c r="H517" s="9" t="n">
        <v>904</v>
      </c>
      <c r="I517" s="9" t="inlineStr">
        <is>
          <t>Middle Relief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</f>
        <v/>
      </c>
      <c r="AD517" s="15">
        <f>SUMPRODUCT(M517:X517,$M$6:$X$6)</f>
        <v/>
      </c>
      <c r="AE517" s="19" t="n"/>
    </row>
    <row r="518">
      <c r="A518" s="9" t="n">
        <v>642520</v>
      </c>
      <c r="B518" s="9" t="inlineStr">
        <is>
          <t>Gerson Garabito</t>
        </is>
      </c>
      <c r="C518" s="9" t="inlineStr">
        <is>
          <t>TEX</t>
        </is>
      </c>
      <c r="D518" s="9" t="n">
        <v>31</v>
      </c>
      <c r="E518" s="17" t="inlineStr">
        <is>
          <t>R</t>
        </is>
      </c>
      <c r="F518" s="17" t="n"/>
      <c r="G518" s="9" t="n">
        <v>41</v>
      </c>
      <c r="H518" s="9" t="n">
        <v>156</v>
      </c>
      <c r="I518" s="9" t="inlineStr">
        <is>
          <t>Bullpen Depth Arm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</f>
        <v/>
      </c>
      <c r="AD518" s="15">
        <f>SUMPRODUCT(M518:X518,$M$6:$X$6)</f>
        <v/>
      </c>
      <c r="AE518" s="19" t="n"/>
    </row>
    <row r="519">
      <c r="A519" s="9" t="n">
        <v>687922</v>
      </c>
      <c r="B519" s="9" t="inlineStr">
        <is>
          <t>Easton Lucas</t>
        </is>
      </c>
      <c r="C519" s="9" t="inlineStr">
        <is>
          <t>TOR</t>
        </is>
      </c>
      <c r="D519" s="9" t="n">
        <v>30</v>
      </c>
      <c r="E519" s="17" t="inlineStr">
        <is>
          <t>L</t>
        </is>
      </c>
      <c r="F519" s="17" t="n"/>
      <c r="G519" s="9" t="n">
        <v>108</v>
      </c>
      <c r="H519" s="9" t="n">
        <v>204</v>
      </c>
      <c r="I519" s="9" t="inlineStr">
        <is>
          <t>Bullpen Depth Arm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</f>
        <v/>
      </c>
      <c r="AD519" s="15">
        <f>SUMPRODUCT(M519:X519,$M$6:$X$6)</f>
        <v/>
      </c>
      <c r="AE519" s="19" t="n"/>
    </row>
    <row r="520">
      <c r="A520" s="9" t="n">
        <v>657424</v>
      </c>
      <c r="B520" s="9" t="inlineStr">
        <is>
          <t>Matt Gage</t>
        </is>
      </c>
      <c r="C520" s="9" t="inlineStr">
        <is>
          <t>SF</t>
        </is>
      </c>
      <c r="D520" s="9" t="n">
        <v>34</v>
      </c>
      <c r="E520" s="17" t="inlineStr">
        <is>
          <t>L</t>
        </is>
      </c>
      <c r="F520" s="17" t="n"/>
      <c r="G520" s="9" t="n">
        <v>102</v>
      </c>
      <c r="H520" s="9" t="n">
        <v>316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</f>
        <v/>
      </c>
      <c r="AD520" s="15">
        <f>SUMPRODUCT(M520:X520,$M$6:$X$6)</f>
        <v/>
      </c>
      <c r="AE520" s="19" t="n"/>
    </row>
    <row r="521">
      <c r="A521" s="9" t="n">
        <v>655889</v>
      </c>
      <c r="B521" s="9" t="inlineStr">
        <is>
          <t>Manuel Rodríguez</t>
        </is>
      </c>
      <c r="C521" s="9" t="inlineStr">
        <is>
          <t>TB</t>
        </is>
      </c>
      <c r="D521" s="9" t="n">
        <v>30</v>
      </c>
      <c r="E521" s="17" t="inlineStr">
        <is>
          <t>R</t>
        </is>
      </c>
      <c r="F521" s="17" t="n"/>
      <c r="G521" s="9" t="n">
        <v>121</v>
      </c>
      <c r="H521" s="9" t="n">
        <v>336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</f>
        <v/>
      </c>
      <c r="AD521" s="15">
        <f>SUMPRODUCT(M521:X521,$M$6:$X$6)</f>
        <v/>
      </c>
      <c r="AE521" s="19" t="n"/>
    </row>
    <row r="522">
      <c r="A522" s="9" t="n">
        <v>676571</v>
      </c>
      <c r="B522" s="9" t="inlineStr">
        <is>
          <t>PJ Poulin</t>
        </is>
      </c>
      <c r="C522" s="9" t="inlineStr">
        <is>
          <t>WSH</t>
        </is>
      </c>
      <c r="D522" s="9" t="n">
        <v>30</v>
      </c>
      <c r="E522" s="17" t="inlineStr">
        <is>
          <t>L</t>
        </is>
      </c>
      <c r="F522" s="17" t="n"/>
      <c r="G522" s="9" t="n">
        <v>106</v>
      </c>
      <c r="H522" s="9" t="n">
        <v>216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</f>
        <v/>
      </c>
      <c r="AD522" s="15">
        <f>SUMPRODUCT(M522:X522,$M$6:$X$6)</f>
        <v/>
      </c>
      <c r="AE522" s="19" t="n"/>
    </row>
    <row r="523">
      <c r="A523" s="9" t="n">
        <v>669387</v>
      </c>
      <c r="B523" s="9" t="inlineStr">
        <is>
          <t>Carmen Mlodzinski</t>
        </is>
      </c>
      <c r="C523" s="9" t="inlineStr">
        <is>
          <t>PIT</t>
        </is>
      </c>
      <c r="D523" s="9" t="n">
        <v>28</v>
      </c>
      <c r="E523" s="17" t="inlineStr">
        <is>
          <t>R</t>
        </is>
      </c>
      <c r="F523" s="17" t="n"/>
      <c r="G523" s="9" t="n">
        <v>253</v>
      </c>
      <c r="H523" s="9" t="n">
        <v>1033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</f>
        <v/>
      </c>
      <c r="AD523" s="15">
        <f>SUMPRODUCT(M523:X523,$M$6:$X$6)</f>
        <v/>
      </c>
      <c r="AE523" s="19" t="n"/>
    </row>
    <row r="524">
      <c r="A524" s="9" t="n">
        <v>571948</v>
      </c>
      <c r="B524" s="9" t="inlineStr">
        <is>
          <t>Hoby Milner</t>
        </is>
      </c>
      <c r="C524" s="9" t="inlineStr">
        <is>
          <t>CHC</t>
        </is>
      </c>
      <c r="D524" s="9" t="n">
        <v>36</v>
      </c>
      <c r="E524" s="17" t="inlineStr">
        <is>
          <t>L</t>
        </is>
      </c>
      <c r="F524" s="17" t="n"/>
      <c r="G524" s="9" t="n">
        <v>121</v>
      </c>
      <c r="H524" s="9" t="n">
        <v>1206</v>
      </c>
      <c r="I524" s="9" t="inlineStr">
        <is>
          <t>Late Inning RP (Setup)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</f>
        <v/>
      </c>
      <c r="AD524" s="15">
        <f>SUMPRODUCT(M524:X524,$M$6:$X$6)</f>
        <v/>
      </c>
      <c r="AE524" s="19" t="n"/>
    </row>
    <row r="525">
      <c r="A525" s="9" t="n">
        <v>681892</v>
      </c>
      <c r="B525" s="9" t="inlineStr">
        <is>
          <t>Kody Funderburk</t>
        </is>
      </c>
      <c r="C525" s="9" t="inlineStr">
        <is>
          <t>MIN</t>
        </is>
      </c>
      <c r="D525" s="9" t="n">
        <v>30</v>
      </c>
      <c r="E525" s="17" t="inlineStr">
        <is>
          <t>L</t>
        </is>
      </c>
      <c r="F525" s="17" t="n"/>
      <c r="G525" s="9" t="n">
        <v>82</v>
      </c>
      <c r="H525" s="9" t="n">
        <v>473</v>
      </c>
      <c r="I525" s="9" t="inlineStr">
        <is>
          <t>Bullpen Depth Arm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</f>
        <v/>
      </c>
      <c r="AD525" s="15">
        <f>SUMPRODUCT(M525:X525,$M$6:$X$6)</f>
        <v/>
      </c>
      <c r="AE525" s="19" t="n"/>
    </row>
    <row r="526">
      <c r="A526" s="9" t="n">
        <v>687849</v>
      </c>
      <c r="B526" s="9" t="inlineStr">
        <is>
          <t>Zak Kent</t>
        </is>
      </c>
      <c r="C526" s="9" t="inlineStr">
        <is>
          <t>WSH</t>
        </is>
      </c>
      <c r="D526" s="9" t="n">
        <v>29</v>
      </c>
      <c r="E526" s="17" t="inlineStr">
        <is>
          <t>R</t>
        </is>
      </c>
      <c r="F526" s="17" t="n"/>
      <c r="G526" s="9" t="n">
        <v>44</v>
      </c>
      <c r="H526" s="9" t="n">
        <v>120</v>
      </c>
      <c r="I526" s="9" t="inlineStr">
        <is>
          <t>Middle Relief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</f>
        <v/>
      </c>
      <c r="AD526" s="15">
        <f>SUMPRODUCT(M526:X526,$M$6:$X$6)</f>
        <v/>
      </c>
      <c r="AE526" s="19" t="n"/>
    </row>
    <row r="527">
      <c r="A527" s="9" t="n">
        <v>695611</v>
      </c>
      <c r="B527" s="9" t="inlineStr">
        <is>
          <t>Gage Jump</t>
        </is>
      </c>
      <c r="C527" s="9" t="inlineStr">
        <is>
          <t>OAK</t>
        </is>
      </c>
      <c r="D527" s="9" t="n">
        <v>24</v>
      </c>
      <c r="E527" s="17" t="inlineStr">
        <is>
          <t>L</t>
        </is>
      </c>
      <c r="F527" s="17" t="n"/>
      <c r="G527" s="9" t="n">
        <v>73</v>
      </c>
      <c r="H527" s="9" t="n">
        <v>73</v>
      </c>
      <c r="I527" s="9" t="inlineStr">
        <is>
          <t>Ace (SP1)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</f>
        <v/>
      </c>
      <c r="AD527" s="15">
        <f>SUMPRODUCT(M527:X527,$M$6:$X$6)</f>
        <v/>
      </c>
      <c r="AE527" s="19" t="n"/>
    </row>
    <row r="528">
      <c r="A528" s="9" t="n">
        <v>641386</v>
      </c>
      <c r="B528" s="9" t="inlineStr">
        <is>
          <t>Ben Bowden</t>
        </is>
      </c>
      <c r="C528" s="9" t="inlineStr">
        <is>
          <t>OAK</t>
        </is>
      </c>
      <c r="D528" s="9" t="n">
        <v>32</v>
      </c>
      <c r="E528" s="17" t="inlineStr">
        <is>
          <t>L</t>
        </is>
      </c>
      <c r="F528" s="17" t="n"/>
      <c r="G528" s="9" t="n">
        <v>47</v>
      </c>
      <c r="H528" s="9" t="n">
        <v>47</v>
      </c>
      <c r="I528" s="9" t="inlineStr">
        <is>
          <t>Bullpen Depth Arm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</f>
        <v/>
      </c>
      <c r="AD528" s="15">
        <f>SUMPRODUCT(M528:X528,$M$6:$X$6)</f>
        <v/>
      </c>
      <c r="AE528" s="19" t="n"/>
    </row>
    <row r="529">
      <c r="A529" s="9" t="n">
        <v>650644</v>
      </c>
      <c r="B529" s="9" t="inlineStr">
        <is>
          <t>Aaron Civale</t>
        </is>
      </c>
      <c r="C529" s="9" t="inlineStr">
        <is>
          <t>OAK</t>
        </is>
      </c>
      <c r="D529" s="9" t="n">
        <v>32</v>
      </c>
      <c r="E529" s="17" t="inlineStr">
        <is>
          <t>R</t>
        </is>
      </c>
      <c r="F529" s="17" t="n"/>
      <c r="G529" s="9" t="n">
        <v>246</v>
      </c>
      <c r="H529" s="9" t="n">
        <v>2281</v>
      </c>
      <c r="I529" s="9" t="inlineStr">
        <is>
          <t>End-of-Rotation Starter (SP4-5)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</f>
        <v/>
      </c>
      <c r="AD529" s="15">
        <f>SUMPRODUCT(M529:X529,$M$6:$X$6)</f>
        <v/>
      </c>
      <c r="AE529" s="19" t="n"/>
    </row>
    <row r="530">
      <c r="A530" s="9" t="n">
        <v>702273</v>
      </c>
      <c r="B530" s="9" t="inlineStr">
        <is>
          <t>Noah Schultz</t>
        </is>
      </c>
      <c r="C530" s="9" t="inlineStr">
        <is>
          <t>CWS</t>
        </is>
      </c>
      <c r="D530" s="9" t="n">
        <v>23</v>
      </c>
      <c r="E530" s="17" t="inlineStr">
        <is>
          <t>L</t>
        </is>
      </c>
      <c r="F530" s="17" t="n"/>
      <c r="G530" s="9" t="n">
        <v>168</v>
      </c>
      <c r="H530" s="9" t="n">
        <v>168</v>
      </c>
      <c r="I530" s="9" t="inlineStr">
        <is>
          <t>End-of-Rotation Starter (SP4-5)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</f>
        <v/>
      </c>
      <c r="AD530" s="15">
        <f>SUMPRODUCT(M530:X530,$M$6:$X$6)</f>
        <v/>
      </c>
      <c r="AE530" s="19" t="n"/>
    </row>
    <row r="531">
      <c r="A531" s="9" t="n">
        <v>801403</v>
      </c>
      <c r="B531" s="9" t="inlineStr">
        <is>
          <t>Chase Dollander</t>
        </is>
      </c>
      <c r="C531" s="9" t="inlineStr">
        <is>
          <t>COL</t>
        </is>
      </c>
      <c r="D531" s="9" t="n">
        <v>25</v>
      </c>
      <c r="E531" s="17" t="inlineStr">
        <is>
          <t>R</t>
        </is>
      </c>
      <c r="F531" s="17" t="n"/>
      <c r="G531" s="9" t="n">
        <v>189</v>
      </c>
      <c r="H531" s="9" t="n">
        <v>630</v>
      </c>
      <c r="I531" s="9" t="inlineStr">
        <is>
          <t>End-of-Rotation Starter (SP4-5)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</f>
        <v/>
      </c>
      <c r="AD531" s="15">
        <f>SUMPRODUCT(M531:X531,$M$6:$X$6)</f>
        <v/>
      </c>
      <c r="AE531" s="19" t="n"/>
    </row>
    <row r="532">
      <c r="A532" s="9" t="n">
        <v>622379</v>
      </c>
      <c r="B532" s="9" t="inlineStr">
        <is>
          <t>Luis F. Castillo</t>
        </is>
      </c>
      <c r="C532" s="9" t="inlineStr">
        <is>
          <t>SEA</t>
        </is>
      </c>
      <c r="D532" s="9" t="n">
        <v>32</v>
      </c>
      <c r="E532" s="17" t="inlineStr">
        <is>
          <t>R</t>
        </is>
      </c>
      <c r="F532" s="17" t="n"/>
      <c r="G532" s="9" t="n">
        <v>41</v>
      </c>
      <c r="H532" s="9" t="n">
        <v>55</v>
      </c>
      <c r="I532" s="9" t="inlineStr">
        <is>
          <t>End-of-Rotation Starter (SP4-5)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</f>
        <v/>
      </c>
      <c r="AD532" s="15">
        <f>SUMPRODUCT(M532:X532,$M$6:$X$6)</f>
        <v/>
      </c>
      <c r="AE532" s="19" t="n"/>
    </row>
    <row r="533">
      <c r="A533" s="9" t="n">
        <v>692230</v>
      </c>
      <c r="B533" s="9" t="inlineStr">
        <is>
          <t>Carlos Rodriguez</t>
        </is>
      </c>
      <c r="C533" s="9" t="inlineStr">
        <is>
          <t>MIL</t>
        </is>
      </c>
      <c r="D533" s="9" t="n">
        <v>25</v>
      </c>
      <c r="E533" s="17" t="inlineStr">
        <is>
          <t>R</t>
        </is>
      </c>
      <c r="F533" s="17" t="n"/>
      <c r="G533" s="9" t="n">
        <v>42</v>
      </c>
      <c r="H533" s="9" t="n">
        <v>149</v>
      </c>
      <c r="I533" s="9" t="inlineStr">
        <is>
          <t>Bullpen Depth Arm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</f>
        <v/>
      </c>
      <c r="AD533" s="15">
        <f>SUMPRODUCT(M533:X533,$M$6:$X$6)</f>
        <v/>
      </c>
      <c r="AE533" s="19" t="n"/>
    </row>
    <row r="534">
      <c r="A534" s="9" t="n">
        <v>685005</v>
      </c>
      <c r="B534" s="9" t="inlineStr">
        <is>
          <t>Christian Roa</t>
        </is>
      </c>
      <c r="C534" s="9" t="inlineStr">
        <is>
          <t>HOU</t>
        </is>
      </c>
      <c r="D534" s="9" t="n">
        <v>28</v>
      </c>
      <c r="E534" s="17" t="inlineStr">
        <is>
          <t>R</t>
        </is>
      </c>
      <c r="F534" s="17" t="n"/>
      <c r="G534" s="9" t="n">
        <v>43</v>
      </c>
      <c r="H534" s="9" t="n">
        <v>55</v>
      </c>
      <c r="I534" s="9" t="inlineStr">
        <is>
          <t>Bullpen Depth Arm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</f>
        <v/>
      </c>
      <c r="AD534" s="15">
        <f>SUMPRODUCT(M534:X534,$M$6:$X$6)</f>
        <v/>
      </c>
      <c r="AE534" s="19" t="n"/>
    </row>
    <row r="535">
      <c r="A535" s="9" t="n">
        <v>681799</v>
      </c>
      <c r="B535" s="9" t="inlineStr">
        <is>
          <t>Ethan Roberts</t>
        </is>
      </c>
      <c r="C535" s="9" t="inlineStr">
        <is>
          <t>CHC</t>
        </is>
      </c>
      <c r="D535" s="9" t="n">
        <v>29</v>
      </c>
      <c r="E535" s="17" t="inlineStr">
        <is>
          <t>R</t>
        </is>
      </c>
      <c r="F535" s="17" t="n"/>
      <c r="G535" s="9" t="n">
        <v>77</v>
      </c>
      <c r="H535" s="9" t="n">
        <v>272</v>
      </c>
      <c r="I535" s="9" t="inlineStr">
        <is>
          <t>Bullpen Depth Arm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</f>
        <v/>
      </c>
      <c r="AD535" s="15">
        <f>SUMPRODUCT(M535:X535,$M$6:$X$6)</f>
        <v/>
      </c>
      <c r="AE535" s="19" t="n"/>
    </row>
    <row r="536">
      <c r="A536" s="9" t="n">
        <v>702474</v>
      </c>
      <c r="B536" s="9" t="inlineStr">
        <is>
          <t>Mike Paredes</t>
        </is>
      </c>
      <c r="C536" s="9" t="inlineStr">
        <is>
          <t>MIN</t>
        </is>
      </c>
      <c r="D536" s="9" t="n">
        <v>26</v>
      </c>
      <c r="E536" s="17" t="inlineStr">
        <is>
          <t>R</t>
        </is>
      </c>
      <c r="F536" s="17" t="n"/>
      <c r="G536" s="9" t="n">
        <v>32</v>
      </c>
      <c r="H536" s="9" t="n">
        <v>32</v>
      </c>
      <c r="I536" s="9" t="inlineStr">
        <is>
          <t>End-of-Rotation Starter (SP4-5)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</f>
        <v/>
      </c>
      <c r="AD536" s="15">
        <f>SUMPRODUCT(M536:X536,$M$6:$X$6)</f>
        <v/>
      </c>
      <c r="AE536" s="19" t="n"/>
    </row>
    <row r="537">
      <c r="A537" s="9" t="n">
        <v>663423</v>
      </c>
      <c r="B537" s="9" t="inlineStr">
        <is>
          <t>Trent Thornton</t>
        </is>
      </c>
      <c r="C537" s="9" t="inlineStr">
        <is>
          <t>CHC</t>
        </is>
      </c>
      <c r="D537" s="9" t="n">
        <v>33</v>
      </c>
      <c r="E537" s="17" t="inlineStr">
        <is>
          <t>R</t>
        </is>
      </c>
      <c r="F537" s="17" t="n"/>
      <c r="G537" s="9" t="n">
        <v>62</v>
      </c>
      <c r="H537" s="9" t="n">
        <v>850</v>
      </c>
      <c r="I537" s="9" t="inlineStr">
        <is>
          <t>Middle Relief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</f>
        <v/>
      </c>
      <c r="AD537" s="15">
        <f>SUMPRODUCT(M537:X537,$M$6:$X$6)</f>
        <v/>
      </c>
      <c r="AE537" s="19" t="n"/>
    </row>
    <row r="538">
      <c r="A538" s="9" t="n">
        <v>671096</v>
      </c>
      <c r="B538" s="9" t="inlineStr">
        <is>
          <t>Andrew Abbott</t>
        </is>
      </c>
      <c r="C538" s="9" t="inlineStr">
        <is>
          <t>CIN</t>
        </is>
      </c>
      <c r="D538" s="9" t="n">
        <v>28</v>
      </c>
      <c r="E538" s="17" t="inlineStr">
        <is>
          <t>L</t>
        </is>
      </c>
      <c r="F538" s="17" t="n"/>
      <c r="G538" s="9" t="n">
        <v>322</v>
      </c>
      <c r="H538" s="9" t="n">
        <v>2051</v>
      </c>
      <c r="I538" s="9" t="inlineStr">
        <is>
          <t>Mid-Rotation Starter (SP2-3)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</f>
        <v/>
      </c>
      <c r="AD538" s="15">
        <f>SUMPRODUCT(M538:X538,$M$6:$X$6)</f>
        <v/>
      </c>
      <c r="AE538" s="19" t="n"/>
    </row>
    <row r="539">
      <c r="A539" s="9" t="n">
        <v>622663</v>
      </c>
      <c r="B539" s="9" t="inlineStr">
        <is>
          <t>Luis Severino</t>
        </is>
      </c>
      <c r="C539" s="9" t="inlineStr">
        <is>
          <t>OAK</t>
        </is>
      </c>
      <c r="D539" s="9" t="n">
        <v>33</v>
      </c>
      <c r="E539" s="17" t="inlineStr">
        <is>
          <t>R</t>
        </is>
      </c>
      <c r="F539" s="17" t="n"/>
      <c r="G539" s="9" t="n">
        <v>271</v>
      </c>
      <c r="H539" s="9" t="n">
        <v>2559</v>
      </c>
      <c r="I539" s="9" t="inlineStr">
        <is>
          <t>Mid-Rotation Starter (SP2-3)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</f>
        <v/>
      </c>
      <c r="AD539" s="15">
        <f>SUMPRODUCT(M539:X539,$M$6:$X$6)</f>
        <v/>
      </c>
      <c r="AE539" s="19" t="n"/>
    </row>
    <row r="540">
      <c r="A540" s="9" t="n">
        <v>665152</v>
      </c>
      <c r="B540" s="9" t="inlineStr">
        <is>
          <t>Dean Kremer</t>
        </is>
      </c>
      <c r="C540" s="9" t="inlineStr">
        <is>
          <t>BAL</t>
        </is>
      </c>
      <c r="D540" s="9" t="n">
        <v>31</v>
      </c>
      <c r="E540" s="17" t="inlineStr">
        <is>
          <t>R</t>
        </is>
      </c>
      <c r="F540" s="17" t="n"/>
      <c r="G540" s="9" t="n">
        <v>43</v>
      </c>
      <c r="H540" s="9" t="n">
        <v>2551</v>
      </c>
      <c r="I540" s="9" t="inlineStr">
        <is>
          <t>Mid-Rotation Starter (SP2-3)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</f>
        <v/>
      </c>
      <c r="AD540" s="15">
        <f>SUMPRODUCT(M540:X540,$M$6:$X$6)</f>
        <v/>
      </c>
      <c r="AE540" s="19" t="n"/>
    </row>
    <row r="541">
      <c r="A541" s="9" t="n">
        <v>702275</v>
      </c>
      <c r="B541" s="9" t="inlineStr">
        <is>
          <t>JR Ritchie</t>
        </is>
      </c>
      <c r="C541" s="9" t="inlineStr">
        <is>
          <t>ATL</t>
        </is>
      </c>
      <c r="D541" s="9" t="n">
        <v>24</v>
      </c>
      <c r="E541" s="17" t="inlineStr">
        <is>
          <t>R</t>
        </is>
      </c>
      <c r="F541" s="17" t="n"/>
      <c r="G541" s="9" t="n">
        <v>114</v>
      </c>
      <c r="H541" s="9" t="n">
        <v>114</v>
      </c>
      <c r="I541" s="9" t="inlineStr">
        <is>
          <t>Mid-Rotation Starter (SP2-3)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</f>
        <v/>
      </c>
      <c r="AD541" s="15">
        <f>SUMPRODUCT(M541:X541,$M$6:$X$6)</f>
        <v/>
      </c>
      <c r="AE541" s="19" t="n"/>
    </row>
    <row r="542">
      <c r="A542" s="9" t="n">
        <v>685326</v>
      </c>
      <c r="B542" s="9" t="inlineStr">
        <is>
          <t>McCade Brown</t>
        </is>
      </c>
      <c r="C542" s="9" t="inlineStr">
        <is>
          <t>COL</t>
        </is>
      </c>
      <c r="D542" s="9" t="n">
        <v>26</v>
      </c>
      <c r="E542" s="17" t="inlineStr">
        <is>
          <t>R</t>
        </is>
      </c>
      <c r="F542" s="17" t="n"/>
      <c r="G542" s="9" t="n">
        <v>126</v>
      </c>
      <c r="H542" s="9" t="n">
        <v>126</v>
      </c>
      <c r="I542" s="9" t="inlineStr">
        <is>
          <t>End-of-Rotation Starter (SP4-5)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</f>
        <v/>
      </c>
      <c r="AD542" s="15">
        <f>SUMPRODUCT(M542:X542,$M$6:$X$6)</f>
        <v/>
      </c>
      <c r="AE542" s="19" t="n"/>
    </row>
    <row r="543">
      <c r="A543" s="9" t="n">
        <v>676092</v>
      </c>
      <c r="B543" s="9" t="inlineStr">
        <is>
          <t>Collin Snider</t>
        </is>
      </c>
      <c r="C543" s="9" t="inlineStr">
        <is>
          <t>SEA</t>
        </is>
      </c>
      <c r="D543" s="9" t="n">
        <v>31</v>
      </c>
      <c r="E543" s="17" t="inlineStr">
        <is>
          <t>R</t>
        </is>
      </c>
      <c r="F543" s="17" t="n"/>
      <c r="G543" s="9" t="n">
        <v>119</v>
      </c>
      <c r="H543" s="9" t="n">
        <v>534</v>
      </c>
      <c r="I543" s="9" t="inlineStr">
        <is>
          <t>Bullpen Depth Arm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</f>
        <v/>
      </c>
      <c r="AD543" s="15">
        <f>SUMPRODUCT(M543:X543,$M$6:$X$6)</f>
        <v/>
      </c>
      <c r="AE543" s="19" t="n"/>
    </row>
    <row r="544">
      <c r="A544" s="9" t="n">
        <v>802419</v>
      </c>
      <c r="B544" s="9" t="inlineStr">
        <is>
          <t>Thomas Harrington</t>
        </is>
      </c>
      <c r="C544" s="9" t="inlineStr">
        <is>
          <t>PIT</t>
        </is>
      </c>
      <c r="D544" s="9" t="n">
        <v>25</v>
      </c>
      <c r="E544" s="17" t="inlineStr">
        <is>
          <t>R</t>
        </is>
      </c>
      <c r="F544" s="17" t="n"/>
      <c r="G544" s="9" t="n">
        <v>50</v>
      </c>
      <c r="H544" s="9" t="n">
        <v>50</v>
      </c>
      <c r="I544" s="9" t="inlineStr">
        <is>
          <t>Bullpen Depth Arm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</f>
        <v/>
      </c>
      <c r="AD544" s="15">
        <f>SUMPRODUCT(M544:X544,$M$6:$X$6)</f>
        <v/>
      </c>
      <c r="AE544" s="19" t="n"/>
    </row>
    <row r="545">
      <c r="A545" s="9" t="n">
        <v>680736</v>
      </c>
      <c r="B545" s="9" t="inlineStr">
        <is>
          <t>Justin Wrobleski</t>
        </is>
      </c>
      <c r="C545" s="9" t="inlineStr">
        <is>
          <t>LAD</t>
        </is>
      </c>
      <c r="D545" s="9" t="n">
        <v>26</v>
      </c>
      <c r="E545" s="17" t="inlineStr">
        <is>
          <t>L</t>
        </is>
      </c>
      <c r="F545" s="17" t="n"/>
      <c r="G545" s="9" t="n">
        <v>274</v>
      </c>
      <c r="H545" s="9" t="n">
        <v>708</v>
      </c>
      <c r="I545" s="9" t="inlineStr">
        <is>
          <t>End-of-Rotation Starter (SP4-5)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</f>
        <v/>
      </c>
      <c r="AD545" s="15">
        <f>SUMPRODUCT(M545:X545,$M$6:$X$6)</f>
        <v/>
      </c>
      <c r="AE545" s="19" t="n"/>
    </row>
    <row r="546">
      <c r="A546" s="9" t="n">
        <v>668964</v>
      </c>
      <c r="B546" s="9" t="inlineStr">
        <is>
          <t>Tobias Myers</t>
        </is>
      </c>
      <c r="C546" s="9" t="inlineStr">
        <is>
          <t>NYM</t>
        </is>
      </c>
      <c r="D546" s="9" t="n">
        <v>28</v>
      </c>
      <c r="E546" s="17" t="inlineStr">
        <is>
          <t>R</t>
        </is>
      </c>
      <c r="F546" s="17" t="n"/>
      <c r="G546" s="9" t="n">
        <v>134</v>
      </c>
      <c r="H546" s="9" t="n">
        <v>923</v>
      </c>
      <c r="I546" s="9" t="inlineStr">
        <is>
          <t>End-of-Rotation Starter (SP4-5)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</f>
        <v/>
      </c>
      <c r="AD546" s="15">
        <f>SUMPRODUCT(M546:X546,$M$6:$X$6)</f>
        <v/>
      </c>
      <c r="AE546" s="19" t="n"/>
    </row>
    <row r="547">
      <c r="A547" s="9" t="n">
        <v>682610</v>
      </c>
      <c r="B547" s="9" t="inlineStr">
        <is>
          <t>Roddery Muñoz</t>
        </is>
      </c>
      <c r="C547" s="9" t="inlineStr">
        <is>
          <t>HOU</t>
        </is>
      </c>
      <c r="D547" s="9" t="n">
        <v>27</v>
      </c>
      <c r="E547" s="17" t="inlineStr">
        <is>
          <t>R</t>
        </is>
      </c>
      <c r="F547" s="17" t="n"/>
      <c r="G547" s="9" t="n">
        <v>25</v>
      </c>
      <c r="H547" s="9" t="n">
        <v>455</v>
      </c>
      <c r="I547" s="9" t="inlineStr">
        <is>
          <t>End-of-Rotation Starter (SP4-5)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</f>
        <v/>
      </c>
      <c r="AD547" s="15">
        <f>SUMPRODUCT(M547:X547,$M$6:$X$6)</f>
        <v/>
      </c>
      <c r="AE547" s="19" t="n"/>
    </row>
    <row r="548">
      <c r="A548" s="9" t="n">
        <v>656186</v>
      </c>
      <c r="B548" s="9" t="inlineStr">
        <is>
          <t>Dan Altavilla</t>
        </is>
      </c>
      <c r="C548" s="9" t="inlineStr">
        <is>
          <t>CWS</t>
        </is>
      </c>
      <c r="D548" s="9" t="n">
        <v>34</v>
      </c>
      <c r="E548" s="17" t="inlineStr">
        <is>
          <t>R</t>
        </is>
      </c>
      <c r="F548" s="17" t="n"/>
      <c r="G548" s="9" t="n">
        <v>120</v>
      </c>
      <c r="H548" s="9" t="n">
        <v>141</v>
      </c>
      <c r="I548" s="9" t="inlineStr">
        <is>
          <t>Bullpen Depth Arm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</f>
        <v/>
      </c>
      <c r="AD548" s="15">
        <f>SUMPRODUCT(M548:X548,$M$6:$X$6)</f>
        <v/>
      </c>
      <c r="AE548" s="19" t="n"/>
    </row>
    <row r="549">
      <c r="A549" s="9" t="n">
        <v>678606</v>
      </c>
      <c r="B549" s="9" t="inlineStr">
        <is>
          <t>José A. Ferrer</t>
        </is>
      </c>
      <c r="C549" s="9" t="inlineStr">
        <is>
          <t>SEA</t>
        </is>
      </c>
      <c r="D549" s="9" t="n">
        <v>27</v>
      </c>
      <c r="E549" s="17" t="inlineStr">
        <is>
          <t>L</t>
        </is>
      </c>
      <c r="F549" s="17" t="n"/>
      <c r="G549" s="9" t="n">
        <v>132</v>
      </c>
      <c r="H549" s="9" t="n">
        <v>727</v>
      </c>
      <c r="I549" s="9" t="inlineStr">
        <is>
          <t>Middle Relief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</f>
        <v/>
      </c>
      <c r="AD549" s="15">
        <f>SUMPRODUCT(M549:X549,$M$6:$X$6)</f>
        <v/>
      </c>
      <c r="AE549" s="19" t="n"/>
    </row>
    <row r="550">
      <c r="A550" s="9" t="n">
        <v>622503</v>
      </c>
      <c r="B550" s="9" t="inlineStr">
        <is>
          <t>Nabil Crismatt</t>
        </is>
      </c>
      <c r="C550" s="9" t="inlineStr">
        <is>
          <t>ARI</t>
        </is>
      </c>
      <c r="D550" s="9" t="n">
        <v>32</v>
      </c>
      <c r="E550" s="17" t="inlineStr">
        <is>
          <t>R</t>
        </is>
      </c>
      <c r="F550" s="17" t="n"/>
      <c r="G550" s="9" t="n">
        <v>153</v>
      </c>
      <c r="H550" s="9" t="n">
        <v>524</v>
      </c>
      <c r="I550" s="9" t="inlineStr">
        <is>
          <t>End-of-Rotation Starter (SP4-5)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</f>
        <v/>
      </c>
      <c r="AD550" s="15">
        <f>SUMPRODUCT(M550:X550,$M$6:$X$6)</f>
        <v/>
      </c>
      <c r="AE550" s="19" t="n"/>
    </row>
    <row r="551">
      <c r="A551" s="9" t="n">
        <v>665625</v>
      </c>
      <c r="B551" s="9" t="inlineStr">
        <is>
          <t>Elvis Peguero</t>
        </is>
      </c>
      <c r="C551" s="9" t="inlineStr">
        <is>
          <t>CWS</t>
        </is>
      </c>
      <c r="D551" s="9" t="n">
        <v>30</v>
      </c>
      <c r="E551" s="17" t="inlineStr">
        <is>
          <t>R</t>
        </is>
      </c>
      <c r="F551" s="17" t="n"/>
      <c r="G551" s="9" t="n">
        <v>47</v>
      </c>
      <c r="H551" s="9" t="n">
        <v>603</v>
      </c>
      <c r="I551" s="9" t="inlineStr">
        <is>
          <t>Bullpen Depth Arm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</f>
        <v/>
      </c>
      <c r="AD551" s="15">
        <f>SUMPRODUCT(M551:X551,$M$6:$X$6)</f>
        <v/>
      </c>
      <c r="AE551" s="19" t="n"/>
    </row>
    <row r="552">
      <c r="A552" s="9" t="n">
        <v>687377</v>
      </c>
      <c r="B552" s="9" t="inlineStr">
        <is>
          <t>Orlando Ribalta</t>
        </is>
      </c>
      <c r="C552" s="9" t="inlineStr">
        <is>
          <t>WSH</t>
        </is>
      </c>
      <c r="D552" s="9" t="n">
        <v>29</v>
      </c>
      <c r="E552" s="17" t="inlineStr">
        <is>
          <t>R</t>
        </is>
      </c>
      <c r="F552" s="17" t="n"/>
      <c r="G552" s="9" t="n">
        <v>71</v>
      </c>
      <c r="H552" s="9" t="n">
        <v>214</v>
      </c>
      <c r="I552" s="9" t="inlineStr">
        <is>
          <t>Bullpen Depth Arm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</f>
        <v/>
      </c>
      <c r="AD552" s="15">
        <f>SUMPRODUCT(M552:X552,$M$6:$X$6)</f>
        <v/>
      </c>
      <c r="AE552" s="19" t="n"/>
    </row>
    <row r="553">
      <c r="A553" s="9" t="n">
        <v>661527</v>
      </c>
      <c r="B553" s="9" t="inlineStr">
        <is>
          <t>Seth Martinez</t>
        </is>
      </c>
      <c r="C553" s="9" t="inlineStr">
        <is>
          <t>MIA</t>
        </is>
      </c>
      <c r="D553" s="9" t="n">
        <v>32</v>
      </c>
      <c r="E553" s="17" t="inlineStr">
        <is>
          <t>R</t>
        </is>
      </c>
      <c r="F553" s="17" t="n"/>
      <c r="G553" s="9" t="n">
        <v>27</v>
      </c>
      <c r="H553" s="9" t="n">
        <v>599</v>
      </c>
      <c r="I553" s="9" t="inlineStr">
        <is>
          <t>Bullpen Depth Arm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</f>
        <v/>
      </c>
      <c r="AD553" s="15">
        <f>SUMPRODUCT(M553:X553,$M$6:$X$6)</f>
        <v/>
      </c>
      <c r="AE553" s="19" t="n"/>
    </row>
    <row r="554">
      <c r="A554" s="9" t="n">
        <v>806188</v>
      </c>
      <c r="B554" s="9" t="inlineStr">
        <is>
          <t>Cade Gibson</t>
        </is>
      </c>
      <c r="C554" s="9" t="inlineStr">
        <is>
          <t>MIA</t>
        </is>
      </c>
      <c r="D554" s="9" t="n">
        <v>29</v>
      </c>
      <c r="E554" s="17" t="inlineStr">
        <is>
          <t>L</t>
        </is>
      </c>
      <c r="F554" s="17" t="n"/>
      <c r="G554" s="9" t="n">
        <v>43</v>
      </c>
      <c r="H554" s="9" t="n">
        <v>273</v>
      </c>
      <c r="I554" s="9" t="inlineStr">
        <is>
          <t>Bullpen Depth Arm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</f>
        <v/>
      </c>
      <c r="AD554" s="15">
        <f>SUMPRODUCT(M554:X554,$M$6:$X$6)</f>
        <v/>
      </c>
      <c r="AE554" s="19" t="n"/>
    </row>
    <row r="555">
      <c r="A555" s="9" t="n">
        <v>674944</v>
      </c>
      <c r="B555" s="9" t="inlineStr">
        <is>
          <t>Sean Guenther</t>
        </is>
      </c>
      <c r="C555" s="9" t="inlineStr">
        <is>
          <t>DET</t>
        </is>
      </c>
      <c r="D555" s="9" t="n">
        <v>31</v>
      </c>
      <c r="E555" s="17" t="inlineStr">
        <is>
          <t>L</t>
        </is>
      </c>
      <c r="F555" s="17" t="n"/>
      <c r="G555" s="9" t="n">
        <v>43</v>
      </c>
      <c r="H555" s="9" t="n">
        <v>116</v>
      </c>
      <c r="I555" s="9" t="inlineStr">
        <is>
          <t>Bullpen Depth Arm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</f>
        <v/>
      </c>
      <c r="AD555" s="15">
        <f>SUMPRODUCT(M555:X555,$M$6:$X$6)</f>
        <v/>
      </c>
      <c r="AE555" s="19" t="n"/>
    </row>
    <row r="556">
      <c r="A556" s="9" t="n">
        <v>806960</v>
      </c>
      <c r="B556" s="9" t="inlineStr">
        <is>
          <t>Luis Morales</t>
        </is>
      </c>
      <c r="C556" s="9" t="inlineStr">
        <is>
          <t>OAK</t>
        </is>
      </c>
      <c r="D556" s="9" t="n">
        <v>24</v>
      </c>
      <c r="E556" s="17" t="inlineStr">
        <is>
          <t>R</t>
        </is>
      </c>
      <c r="F556" s="17" t="n"/>
      <c r="G556" s="9" t="n">
        <v>55</v>
      </c>
      <c r="H556" s="9" t="n">
        <v>254</v>
      </c>
      <c r="I556" s="9" t="inlineStr">
        <is>
          <t>End-of-Rotation Starter (SP4-5)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</f>
        <v/>
      </c>
      <c r="AD556" s="15">
        <f>SUMPRODUCT(M556:X556,$M$6:$X$6)</f>
        <v/>
      </c>
      <c r="AE556" s="19" t="n"/>
    </row>
    <row r="557">
      <c r="A557" s="9" t="n">
        <v>670245</v>
      </c>
      <c r="B557" s="9" t="inlineStr">
        <is>
          <t>Ryan Watson</t>
        </is>
      </c>
      <c r="C557" s="9" t="inlineStr">
        <is>
          <t>BOS</t>
        </is>
      </c>
      <c r="D557" s="9" t="n">
        <v>29</v>
      </c>
      <c r="E557" s="17" t="inlineStr">
        <is>
          <t>R</t>
        </is>
      </c>
      <c r="F557" s="17" t="n"/>
      <c r="G557" s="9" t="n">
        <v>164</v>
      </c>
      <c r="H557" s="9" t="n">
        <v>164</v>
      </c>
      <c r="I557" s="9" t="inlineStr">
        <is>
          <t>Bullpen Depth Arm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</f>
        <v/>
      </c>
      <c r="AD557" s="15">
        <f>SUMPRODUCT(M557:X557,$M$6:$X$6)</f>
        <v/>
      </c>
      <c r="AE557" s="19" t="n"/>
    </row>
    <row r="558">
      <c r="A558" s="9" t="n">
        <v>692285</v>
      </c>
      <c r="B558" s="9" t="inlineStr">
        <is>
          <t>Luis Guerrero</t>
        </is>
      </c>
      <c r="C558" s="9" t="inlineStr">
        <is>
          <t>BOS</t>
        </is>
      </c>
      <c r="D558" s="9" t="n">
        <v>26</v>
      </c>
      <c r="E558" s="17" t="inlineStr">
        <is>
          <t>R</t>
        </is>
      </c>
      <c r="F558" s="17" t="n"/>
      <c r="G558" s="9" t="n">
        <v>72</v>
      </c>
      <c r="H558" s="9" t="n">
        <v>108</v>
      </c>
      <c r="I558" s="9" t="inlineStr">
        <is>
          <t>Bullpen Depth Arm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</f>
        <v/>
      </c>
      <c r="AD558" s="15">
        <f>SUMPRODUCT(M558:X558,$M$6:$X$6)</f>
        <v/>
      </c>
      <c r="AE558" s="19" t="n"/>
    </row>
    <row r="559">
      <c r="A559" s="9" t="n">
        <v>690990</v>
      </c>
      <c r="B559" s="9" t="inlineStr">
        <is>
          <t>Cade Horton</t>
        </is>
      </c>
      <c r="C559" s="9" t="inlineStr">
        <is>
          <t>CHC</t>
        </is>
      </c>
      <c r="D559" s="9" t="n">
        <v>25</v>
      </c>
      <c r="E559" s="17" t="inlineStr">
        <is>
          <t>R</t>
        </is>
      </c>
      <c r="F559" s="17" t="n"/>
      <c r="G559" s="9" t="n">
        <v>26</v>
      </c>
      <c r="H559" s="9" t="n">
        <v>502</v>
      </c>
      <c r="I559" s="9" t="inlineStr">
        <is>
          <t>Mid-Rotation Starter (SP2-3)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</f>
        <v/>
      </c>
      <c r="AD559" s="15">
        <f>SUMPRODUCT(M559:X559,$M$6:$X$6)</f>
        <v/>
      </c>
      <c r="AE559" s="19" t="n"/>
    </row>
    <row r="560">
      <c r="A560" s="9" t="n">
        <v>680880</v>
      </c>
      <c r="B560" s="9" t="inlineStr">
        <is>
          <t>Grant Holman</t>
        </is>
      </c>
      <c r="C560" s="9" t="inlineStr">
        <is>
          <t>OAK</t>
        </is>
      </c>
      <c r="D560" s="9" t="n">
        <v>27</v>
      </c>
      <c r="E560" s="17" t="inlineStr">
        <is>
          <t>R</t>
        </is>
      </c>
      <c r="F560" s="17" t="n"/>
      <c r="G560" s="9" t="n">
        <v>103</v>
      </c>
      <c r="H560" s="9" t="n">
        <v>176</v>
      </c>
      <c r="I560" s="9" t="inlineStr">
        <is>
          <t>Bullpen Depth Arm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</f>
        <v/>
      </c>
      <c r="AD560" s="15">
        <f>SUMPRODUCT(M560:X560,$M$6:$X$6)</f>
        <v/>
      </c>
      <c r="AE560" s="19" t="n"/>
    </row>
    <row r="561">
      <c r="A561" s="9" t="n">
        <v>656212</v>
      </c>
      <c r="B561" s="9" t="inlineStr">
        <is>
          <t>Charlie Barnes</t>
        </is>
      </c>
      <c r="C561" s="9" t="inlineStr">
        <is>
          <t>LAD</t>
        </is>
      </c>
      <c r="D561" s="9" t="n">
        <v>31</v>
      </c>
      <c r="E561" s="17" t="inlineStr">
        <is>
          <t>L</t>
        </is>
      </c>
      <c r="F561" s="17" t="n"/>
      <c r="G561" s="9" t="n">
        <v>25</v>
      </c>
      <c r="H561" s="9" t="n">
        <v>25</v>
      </c>
      <c r="I561" s="9" t="inlineStr">
        <is>
          <t>Bullpen Depth Arm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</f>
        <v/>
      </c>
      <c r="AD561" s="15">
        <f>SUMPRODUCT(M561:X561,$M$6:$X$6)</f>
        <v/>
      </c>
      <c r="AE561" s="19" t="n"/>
    </row>
    <row r="562">
      <c r="A562" s="9" t="n">
        <v>663992</v>
      </c>
      <c r="B562" s="9" t="inlineStr">
        <is>
          <t>Richard Lovelady</t>
        </is>
      </c>
      <c r="C562" s="9" t="inlineStr">
        <is>
          <t>WSH</t>
        </is>
      </c>
      <c r="D562" s="9" t="n">
        <v>31</v>
      </c>
      <c r="E562" s="17" t="inlineStr">
        <is>
          <t>L</t>
        </is>
      </c>
      <c r="F562" s="17" t="n"/>
      <c r="G562" s="9" t="n">
        <v>128</v>
      </c>
      <c r="H562" s="9" t="n">
        <v>428</v>
      </c>
      <c r="I562" s="9" t="inlineStr">
        <is>
          <t>Bullpen Depth Arm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</f>
        <v/>
      </c>
      <c r="AD562" s="15">
        <f>SUMPRODUCT(M562:X562,$M$6:$X$6)</f>
        <v/>
      </c>
      <c r="AE562" s="19" t="n"/>
    </row>
    <row r="563">
      <c r="A563" s="9" t="n">
        <v>663362</v>
      </c>
      <c r="B563" s="9" t="inlineStr">
        <is>
          <t>Matt Waldron</t>
        </is>
      </c>
      <c r="C563" s="9" t="inlineStr">
        <is>
          <t>SD</t>
        </is>
      </c>
      <c r="D563" s="9" t="n">
        <v>30</v>
      </c>
      <c r="E563" s="17" t="inlineStr">
        <is>
          <t>R</t>
        </is>
      </c>
      <c r="F563" s="17" t="n"/>
      <c r="G563" s="9" t="n">
        <v>110</v>
      </c>
      <c r="H563" s="9" t="n">
        <v>933</v>
      </c>
      <c r="I563" s="9" t="inlineStr">
        <is>
          <t>Mid-Rotation Starter (SP2-3)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</f>
        <v/>
      </c>
      <c r="AD563" s="15">
        <f>SUMPRODUCT(M563:X563,$M$6:$X$6)</f>
        <v/>
      </c>
      <c r="AE563" s="19" t="n"/>
    </row>
    <row r="564">
      <c r="A564" s="9" t="n">
        <v>621244</v>
      </c>
      <c r="B564" s="9" t="inlineStr">
        <is>
          <t>José Berríos</t>
        </is>
      </c>
      <c r="C564" s="9" t="inlineStr">
        <is>
          <t>TOR</t>
        </is>
      </c>
      <c r="D564" s="9" t="n">
        <v>33</v>
      </c>
      <c r="E564" s="17" t="inlineStr">
        <is>
          <t>R</t>
        </is>
      </c>
      <c r="F564" s="17" t="n"/>
      <c r="G564" s="9" t="n">
        <v>698</v>
      </c>
      <c r="H564" s="9" t="n">
        <v>3019</v>
      </c>
      <c r="I564" s="9" t="inlineStr">
        <is>
          <t>Mid-Rotation Starter (SP2-3)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</f>
        <v/>
      </c>
      <c r="AD564" s="15">
        <f>SUMPRODUCT(M564:X564,$M$6:$X$6)</f>
        <v/>
      </c>
      <c r="AE564" s="19" t="n"/>
    </row>
    <row r="565">
      <c r="A565" s="9" t="n">
        <v>641540</v>
      </c>
      <c r="B565" s="9" t="inlineStr">
        <is>
          <t>Dane Dunning</t>
        </is>
      </c>
      <c r="C565" s="9" t="inlineStr">
        <is>
          <t>ATL</t>
        </is>
      </c>
      <c r="D565" s="9" t="n">
        <v>32</v>
      </c>
      <c r="E565" s="17" t="inlineStr">
        <is>
          <t>R</t>
        </is>
      </c>
      <c r="F565" s="17" t="n"/>
      <c r="G565" s="9" t="n">
        <v>95</v>
      </c>
      <c r="H565" s="9" t="n">
        <v>1909</v>
      </c>
      <c r="I565" s="9" t="inlineStr">
        <is>
          <t>Bullpen Depth Arm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</f>
        <v/>
      </c>
      <c r="AD565" s="15">
        <f>SUMPRODUCT(M565:X565,$M$6:$X$6)</f>
        <v/>
      </c>
      <c r="AE565" s="19" t="n"/>
    </row>
    <row r="566">
      <c r="A566" s="9" t="n">
        <v>621366</v>
      </c>
      <c r="B566" s="9" t="inlineStr">
        <is>
          <t>Ryan Borucki</t>
        </is>
      </c>
      <c r="C566" s="9" t="inlineStr">
        <is>
          <t>SF</t>
        </is>
      </c>
      <c r="D566" s="9" t="n">
        <v>33</v>
      </c>
      <c r="E566" s="17" t="inlineStr">
        <is>
          <t>L</t>
        </is>
      </c>
      <c r="F566" s="17" t="n"/>
      <c r="G566" s="9" t="n">
        <v>104</v>
      </c>
      <c r="H566" s="9" t="n">
        <v>563</v>
      </c>
      <c r="I566" s="9" t="inlineStr">
        <is>
          <t>Bullpen Depth Arm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</f>
        <v/>
      </c>
      <c r="AD566" s="15">
        <f>SUMPRODUCT(M566:X566,$M$6:$X$6)</f>
        <v/>
      </c>
      <c r="AE566" s="19" t="n"/>
    </row>
    <row r="567">
      <c r="A567" s="9" t="n">
        <v>472610</v>
      </c>
      <c r="B567" s="9" t="inlineStr">
        <is>
          <t>Luis García</t>
        </is>
      </c>
      <c r="C567" s="9" t="inlineStr">
        <is>
          <t>MIN</t>
        </is>
      </c>
      <c r="D567" s="9" t="n">
        <v>40</v>
      </c>
      <c r="E567" s="17" t="inlineStr">
        <is>
          <t>R</t>
        </is>
      </c>
      <c r="F567" s="17" t="n"/>
      <c r="G567" s="9" t="n">
        <v>74</v>
      </c>
      <c r="H567" s="9" t="n">
        <v>1087</v>
      </c>
      <c r="I567" s="9" t="inlineStr">
        <is>
          <t>Bullpen Depth Arm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</f>
        <v/>
      </c>
      <c r="AD567" s="15">
        <f>SUMPRODUCT(M567:X567,$M$6:$X$6)</f>
        <v/>
      </c>
      <c r="AE567" s="19" t="n"/>
    </row>
    <row r="568">
      <c r="A568" s="9" t="n">
        <v>642216</v>
      </c>
      <c r="B568" s="9" t="inlineStr">
        <is>
          <t>Allan Winans</t>
        </is>
      </c>
      <c r="C568" s="9" t="inlineStr">
        <is>
          <t>NYY</t>
        </is>
      </c>
      <c r="D568" s="9" t="n">
        <v>31</v>
      </c>
      <c r="E568" s="17" t="inlineStr">
        <is>
          <t>R</t>
        </is>
      </c>
      <c r="F568" s="17" t="n"/>
      <c r="G568" s="9" t="n">
        <v>46</v>
      </c>
      <c r="H568" s="9" t="n">
        <v>228</v>
      </c>
      <c r="I568" s="9" t="inlineStr">
        <is>
          <t>Bullpen Depth Arm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</f>
        <v/>
      </c>
      <c r="AD568" s="15">
        <f>SUMPRODUCT(M568:X568,$M$6:$X$6)</f>
        <v/>
      </c>
      <c r="AE568" s="19" t="n"/>
    </row>
    <row r="569">
      <c r="A569" s="9" t="n">
        <v>683742</v>
      </c>
      <c r="B569" s="9" t="inlineStr">
        <is>
          <t>Jose Franco</t>
        </is>
      </c>
      <c r="C569" s="9" t="inlineStr">
        <is>
          <t>CIN</t>
        </is>
      </c>
      <c r="D569" s="9" t="n">
        <v>26</v>
      </c>
      <c r="E569" s="17" t="inlineStr">
        <is>
          <t>R</t>
        </is>
      </c>
      <c r="F569" s="17" t="n"/>
      <c r="G569" s="9" t="n">
        <v>79</v>
      </c>
      <c r="H569" s="9" t="n">
        <v>79</v>
      </c>
      <c r="I569" s="9" t="inlineStr">
        <is>
          <t>Bullpen Depth Arm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</f>
        <v/>
      </c>
      <c r="AD569" s="15">
        <f>SUMPRODUCT(M569:X569,$M$6:$X$6)</f>
        <v/>
      </c>
      <c r="AE569" s="19" t="n"/>
    </row>
    <row r="570">
      <c r="A570" s="9" t="n">
        <v>642239</v>
      </c>
      <c r="B570" s="9" t="inlineStr">
        <is>
          <t>Rob Zastryzny</t>
        </is>
      </c>
      <c r="C570" s="9" t="inlineStr">
        <is>
          <t>MIL</t>
        </is>
      </c>
      <c r="D570" s="9" t="n">
        <v>35</v>
      </c>
      <c r="E570" s="17" t="inlineStr">
        <is>
          <t>L</t>
        </is>
      </c>
      <c r="F570" s="17" t="n"/>
      <c r="G570" s="9" t="n">
        <v>93</v>
      </c>
      <c r="H570" s="9" t="n">
        <v>235</v>
      </c>
      <c r="I570" s="9" t="inlineStr">
        <is>
          <t>Bullpen Depth Arm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</f>
        <v/>
      </c>
      <c r="AD570" s="15">
        <f>SUMPRODUCT(M570:X570,$M$6:$X$6)</f>
        <v/>
      </c>
      <c r="AE570" s="19" t="n"/>
    </row>
    <row r="571">
      <c r="A571" s="9" t="n">
        <v>656557</v>
      </c>
      <c r="B571" s="9" t="inlineStr">
        <is>
          <t>Tanner Houck</t>
        </is>
      </c>
      <c r="C571" s="9" t="inlineStr">
        <is>
          <t>BOS</t>
        </is>
      </c>
      <c r="D571" s="9" t="n">
        <v>31</v>
      </c>
      <c r="E571" s="17" t="inlineStr">
        <is>
          <t>R</t>
        </is>
      </c>
      <c r="F571" s="17" t="n"/>
      <c r="G571" s="9" t="n">
        <v>203</v>
      </c>
      <c r="H571" s="9" t="n">
        <v>1656</v>
      </c>
      <c r="I571" s="9" t="inlineStr">
        <is>
          <t>Mid-Rotation Starter (SP2-3)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</f>
        <v/>
      </c>
      <c r="AD571" s="15">
        <f>SUMPRODUCT(M571:X571,$M$6:$X$6)</f>
        <v/>
      </c>
      <c r="AE571" s="19" t="n"/>
    </row>
    <row r="572">
      <c r="A572" s="9" t="n">
        <v>672578</v>
      </c>
      <c r="B572" s="9" t="inlineStr">
        <is>
          <t>Carlos Hernández</t>
        </is>
      </c>
      <c r="C572" s="9" t="inlineStr">
        <is>
          <t>CLE</t>
        </is>
      </c>
      <c r="D572" s="9" t="n">
        <v>30</v>
      </c>
      <c r="E572" s="17" t="inlineStr">
        <is>
          <t>R</t>
        </is>
      </c>
      <c r="F572" s="17" t="n"/>
      <c r="G572" s="9" t="n">
        <v>203</v>
      </c>
      <c r="H572" s="9" t="n">
        <v>898</v>
      </c>
      <c r="I572" s="9" t="inlineStr">
        <is>
          <t>Bullpen Depth Arm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</f>
        <v/>
      </c>
      <c r="AD572" s="15">
        <f>SUMPRODUCT(M572:X572,$M$6:$X$6)</f>
        <v/>
      </c>
      <c r="AE572" s="19" t="n"/>
    </row>
    <row r="573">
      <c r="A573" s="9" t="n">
        <v>621057</v>
      </c>
      <c r="B573" s="9" t="inlineStr">
        <is>
          <t>Justin Garza</t>
        </is>
      </c>
      <c r="C573" s="9" t="inlineStr">
        <is>
          <t>NYM</t>
        </is>
      </c>
      <c r="D573" s="9" t="n">
        <v>33</v>
      </c>
      <c r="E573" s="17" t="inlineStr">
        <is>
          <t>R</t>
        </is>
      </c>
      <c r="F573" s="17" t="n"/>
      <c r="G573" s="9" t="n">
        <v>28</v>
      </c>
      <c r="H573" s="9" t="n">
        <v>119</v>
      </c>
      <c r="I573" s="9" t="inlineStr">
        <is>
          <t>Bullpen Depth Arm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</f>
        <v/>
      </c>
      <c r="AD573" s="15">
        <f>SUMPRODUCT(M573:X573,$M$6:$X$6)</f>
        <v/>
      </c>
      <c r="AE573" s="19" t="n"/>
    </row>
    <row r="574">
      <c r="A574" s="9" t="n">
        <v>690928</v>
      </c>
      <c r="B574" s="9" t="inlineStr">
        <is>
          <t>Hunter Dobbins</t>
        </is>
      </c>
      <c r="C574" s="9" t="inlineStr">
        <is>
          <t>STL</t>
        </is>
      </c>
      <c r="D574" s="9" t="n">
        <v>27</v>
      </c>
      <c r="E574" s="17" t="inlineStr">
        <is>
          <t>R</t>
        </is>
      </c>
      <c r="F574" s="17" t="n"/>
      <c r="G574" s="9" t="n">
        <v>53</v>
      </c>
      <c r="H574" s="9" t="n">
        <v>309</v>
      </c>
      <c r="I574" s="9" t="inlineStr">
        <is>
          <t>End-of-Rotation Starter (SP4-5)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</f>
        <v/>
      </c>
      <c r="AD574" s="15">
        <f>SUMPRODUCT(M574:X574,$M$6:$X$6)</f>
        <v/>
      </c>
      <c r="AE574" s="19" t="n"/>
    </row>
    <row r="575">
      <c r="A575" s="9" t="n">
        <v>571927</v>
      </c>
      <c r="B575" s="9" t="inlineStr">
        <is>
          <t>Steven Matz</t>
        </is>
      </c>
      <c r="C575" s="9" t="inlineStr">
        <is>
          <t>TB</t>
        </is>
      </c>
      <c r="D575" s="9" t="n">
        <v>36</v>
      </c>
      <c r="E575" s="17" t="inlineStr">
        <is>
          <t>L</t>
        </is>
      </c>
      <c r="F575" s="17" t="n"/>
      <c r="G575" s="9" t="n">
        <v>201</v>
      </c>
      <c r="H575" s="9" t="n">
        <v>1356</v>
      </c>
      <c r="I575" s="9" t="inlineStr">
        <is>
          <t>Bullpen Depth Arm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</f>
        <v/>
      </c>
      <c r="AD575" s="15">
        <f>SUMPRODUCT(M575:X575,$M$6:$X$6)</f>
        <v/>
      </c>
      <c r="AE575" s="19" t="n"/>
    </row>
    <row r="576">
      <c r="A576" s="9" t="n">
        <v>593958</v>
      </c>
      <c r="B576" s="9" t="inlineStr">
        <is>
          <t>Eduardo Rodriguez</t>
        </is>
      </c>
      <c r="C576" s="9" t="inlineStr">
        <is>
          <t>ARI</t>
        </is>
      </c>
      <c r="D576" s="9" t="n">
        <v>34</v>
      </c>
      <c r="E576" s="17" t="inlineStr">
        <is>
          <t>L</t>
        </is>
      </c>
      <c r="F576" s="17" t="n"/>
      <c r="G576" s="9" t="n">
        <v>321</v>
      </c>
      <c r="H576" s="9" t="n">
        <v>2251</v>
      </c>
      <c r="I576" s="9" t="inlineStr">
        <is>
          <t>Mid-Rotation Starter (SP2-3)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</f>
        <v/>
      </c>
      <c r="AD576" s="15">
        <f>SUMPRODUCT(M576:X576,$M$6:$X$6)</f>
        <v/>
      </c>
      <c r="AE576" s="19" t="n"/>
    </row>
    <row r="577">
      <c r="A577" s="9" t="n">
        <v>682847</v>
      </c>
      <c r="B577" s="9" t="inlineStr">
        <is>
          <t>Luis Ortiz</t>
        </is>
      </c>
      <c r="C577" s="9" t="inlineStr">
        <is>
          <t>CLE</t>
        </is>
      </c>
      <c r="D577" s="9" t="n">
        <v>28</v>
      </c>
      <c r="E577" s="17" t="inlineStr">
        <is>
          <t>R</t>
        </is>
      </c>
      <c r="F577" s="17" t="n"/>
      <c r="G577" s="9" t="n">
        <v>382</v>
      </c>
      <c r="H577" s="9" t="n">
        <v>1407</v>
      </c>
      <c r="I577" s="9" t="inlineStr">
        <is>
          <t>End-of-Rotation Starter (SP4-5)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</f>
        <v/>
      </c>
      <c r="AD577" s="15">
        <f>SUMPRODUCT(M577:X577,$M$6:$X$6)</f>
        <v/>
      </c>
      <c r="AE577" s="19" t="n"/>
    </row>
    <row r="578">
      <c r="A578" s="9" t="n">
        <v>669391</v>
      </c>
      <c r="B578" s="9" t="inlineStr">
        <is>
          <t>Owen White</t>
        </is>
      </c>
      <c r="C578" s="9" t="inlineStr">
        <is>
          <t>CWS</t>
        </is>
      </c>
      <c r="D578" s="9" t="n">
        <v>27</v>
      </c>
      <c r="E578" s="17" t="inlineStr">
        <is>
          <t>R</t>
        </is>
      </c>
      <c r="F578" s="17" t="n"/>
      <c r="G578" s="9" t="n">
        <v>35</v>
      </c>
      <c r="H578" s="9" t="n">
        <v>72</v>
      </c>
      <c r="I578" s="9" t="inlineStr">
        <is>
          <t>Bullpen Depth Arm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</f>
        <v/>
      </c>
      <c r="AD578" s="15">
        <f>SUMPRODUCT(M578:X578,$M$6:$X$6)</f>
        <v/>
      </c>
      <c r="AE578" s="19" t="n"/>
    </row>
    <row r="579">
      <c r="A579" s="9" t="n">
        <v>696270</v>
      </c>
      <c r="B579" s="9" t="inlineStr">
        <is>
          <t>Ryan Johnson</t>
        </is>
      </c>
      <c r="C579" s="9" t="inlineStr">
        <is>
          <t>LAA</t>
        </is>
      </c>
      <c r="D579" s="9" t="n">
        <v>24</v>
      </c>
      <c r="E579" s="17" t="inlineStr">
        <is>
          <t>R</t>
        </is>
      </c>
      <c r="F579" s="17" t="n"/>
      <c r="G579" s="9" t="n">
        <v>47</v>
      </c>
      <c r="H579" s="9" t="n">
        <v>119</v>
      </c>
      <c r="I579" s="9" t="inlineStr">
        <is>
          <t>Bullpen Depth Arm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</f>
        <v/>
      </c>
      <c r="AD579" s="15">
        <f>SUMPRODUCT(M579:X579,$M$6:$X$6)</f>
        <v/>
      </c>
      <c r="AE579" s="19" t="n"/>
    </row>
    <row r="580">
      <c r="A580" s="9" t="n">
        <v>680729</v>
      </c>
      <c r="B580" s="9" t="inlineStr">
        <is>
          <t>Garrett McDaniels</t>
        </is>
      </c>
      <c r="C580" s="9" t="inlineStr">
        <is>
          <t>LAA</t>
        </is>
      </c>
      <c r="D580" s="9" t="n">
        <v>27</v>
      </c>
      <c r="E580" s="17" t="inlineStr">
        <is>
          <t>L</t>
        </is>
      </c>
      <c r="F580" s="17" t="n"/>
      <c r="G580" s="9" t="n">
        <v>50</v>
      </c>
      <c r="H580" s="9" t="n">
        <v>50</v>
      </c>
      <c r="I580" s="9" t="inlineStr">
        <is>
          <t>Bullpen Depth Arm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</f>
        <v/>
      </c>
      <c r="AD580" s="15">
        <f>SUMPRODUCT(M580:X580,$M$6:$X$6)</f>
        <v/>
      </c>
      <c r="AE580" s="19" t="n"/>
    </row>
    <row r="581">
      <c r="A581" s="9" t="n">
        <v>689266</v>
      </c>
      <c r="B581" s="9" t="inlineStr">
        <is>
          <t>Dylan Dodd</t>
        </is>
      </c>
      <c r="C581" s="9" t="inlineStr">
        <is>
          <t>ATL</t>
        </is>
      </c>
      <c r="D581" s="9" t="n">
        <v>29</v>
      </c>
      <c r="E581" s="17" t="inlineStr">
        <is>
          <t>L</t>
        </is>
      </c>
      <c r="F581" s="17" t="n"/>
      <c r="G581" s="9" t="n">
        <v>54</v>
      </c>
      <c r="H581" s="9" t="n">
        <v>363</v>
      </c>
      <c r="I581" s="9" t="inlineStr">
        <is>
          <t>Middle Relief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</f>
        <v/>
      </c>
      <c r="AD581" s="15">
        <f>SUMPRODUCT(M581:X581,$M$6:$X$6)</f>
        <v/>
      </c>
      <c r="AE581" s="19" t="n"/>
    </row>
    <row r="582">
      <c r="A582" s="9" t="n">
        <v>656240</v>
      </c>
      <c r="B582" s="9" t="inlineStr">
        <is>
          <t>Scott Blewett</t>
        </is>
      </c>
      <c r="C582" s="9" t="inlineStr">
        <is>
          <t>BAL</t>
        </is>
      </c>
      <c r="D582" s="9" t="n">
        <v>31</v>
      </c>
      <c r="E582" s="17" t="inlineStr">
        <is>
          <t>R</t>
        </is>
      </c>
      <c r="F582" s="17" t="n"/>
      <c r="G582" s="9" t="n">
        <v>194</v>
      </c>
      <c r="H582" s="9" t="n">
        <v>279</v>
      </c>
      <c r="I582" s="9" t="inlineStr">
        <is>
          <t>Bullpen Depth Arm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</f>
        <v/>
      </c>
      <c r="AD582" s="15">
        <f>SUMPRODUCT(M582:X582,$M$6:$X$6)</f>
        <v/>
      </c>
      <c r="AE582" s="19" t="n"/>
    </row>
    <row r="583">
      <c r="A583" s="9" t="n">
        <v>606996</v>
      </c>
      <c r="B583" s="9" t="inlineStr">
        <is>
          <t>Kyle Hart</t>
        </is>
      </c>
      <c r="C583" s="9" t="inlineStr">
        <is>
          <t>SD</t>
        </is>
      </c>
      <c r="D583" s="9" t="n">
        <v>34</v>
      </c>
      <c r="E583" s="17" t="inlineStr">
        <is>
          <t>L</t>
        </is>
      </c>
      <c r="F583" s="17" t="n"/>
      <c r="G583" s="9" t="n">
        <v>68</v>
      </c>
      <c r="H583" s="9" t="n">
        <v>247</v>
      </c>
      <c r="I583" s="9" t="inlineStr">
        <is>
          <t>Bullpen Depth Arm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</f>
        <v/>
      </c>
      <c r="AD583" s="15">
        <f>SUMPRODUCT(M583:X583,$M$6:$X$6)</f>
        <v/>
      </c>
      <c r="AE583" s="19" t="n"/>
    </row>
    <row r="584">
      <c r="A584" s="9" t="n">
        <v>669432</v>
      </c>
      <c r="B584" s="9" t="inlineStr">
        <is>
          <t>Trevor Rogers</t>
        </is>
      </c>
      <c r="C584" s="9" t="inlineStr">
        <is>
          <t>BAL</t>
        </is>
      </c>
      <c r="D584" s="9" t="n">
        <v>29</v>
      </c>
      <c r="E584" s="17" t="inlineStr">
        <is>
          <t>L</t>
        </is>
      </c>
      <c r="F584" s="17" t="n"/>
      <c r="G584" s="9" t="n">
        <v>266</v>
      </c>
      <c r="H584" s="9" t="n">
        <v>1807</v>
      </c>
      <c r="I584" s="9" t="inlineStr">
        <is>
          <t>Mid-Rotation Starter (SP2-3)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</f>
        <v/>
      </c>
      <c r="AD584" s="15">
        <f>SUMPRODUCT(M584:X584,$M$6:$X$6)</f>
        <v/>
      </c>
      <c r="AE584" s="19" t="n"/>
    </row>
    <row r="585">
      <c r="A585" s="9" t="n">
        <v>622253</v>
      </c>
      <c r="B585" s="9" t="inlineStr">
        <is>
          <t>Dillon Tate</t>
        </is>
      </c>
      <c r="C585" s="9" t="inlineStr">
        <is>
          <t>TOR</t>
        </is>
      </c>
      <c r="D585" s="9" t="n">
        <v>33</v>
      </c>
      <c r="E585" s="17" t="inlineStr">
        <is>
          <t>R</t>
        </is>
      </c>
      <c r="F585" s="17" t="n"/>
      <c r="G585" s="9" t="n">
        <v>34</v>
      </c>
      <c r="H585" s="9" t="n">
        <v>490</v>
      </c>
      <c r="I585" s="9" t="inlineStr">
        <is>
          <t>Bullpen Depth Arm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</f>
        <v/>
      </c>
      <c r="AD585" s="15">
        <f>SUMPRODUCT(M585:X585,$M$6:$X$6)</f>
        <v/>
      </c>
      <c r="AE585" s="19" t="n"/>
    </row>
    <row r="586">
      <c r="A586" s="9" t="n">
        <v>674370</v>
      </c>
      <c r="B586" s="9" t="inlineStr">
        <is>
          <t>Osvaldo Bido</t>
        </is>
      </c>
      <c r="C586" s="9" t="inlineStr">
        <is>
          <t>CWS</t>
        </is>
      </c>
      <c r="D586" s="9" t="n">
        <v>31</v>
      </c>
      <c r="E586" s="17" t="inlineStr">
        <is>
          <t>R</t>
        </is>
      </c>
      <c r="F586" s="17" t="n"/>
      <c r="G586" s="9" t="n">
        <v>81</v>
      </c>
      <c r="H586" s="9" t="n">
        <v>939</v>
      </c>
      <c r="I586" s="9" t="inlineStr">
        <is>
          <t>Bullpen Depth Arm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</f>
        <v/>
      </c>
      <c r="AD586" s="15">
        <f>SUMPRODUCT(M586:X586,$M$6:$X$6)</f>
        <v/>
      </c>
      <c r="AE586" s="19" t="n"/>
    </row>
    <row r="587">
      <c r="A587" s="9" t="n">
        <v>690544</v>
      </c>
      <c r="B587" s="9" t="inlineStr">
        <is>
          <t>Bailey Horn</t>
        </is>
      </c>
      <c r="C587" s="9" t="inlineStr">
        <is>
          <t>DET</t>
        </is>
      </c>
      <c r="D587" s="9" t="n">
        <v>29</v>
      </c>
      <c r="E587" s="17" t="inlineStr">
        <is>
          <t>L</t>
        </is>
      </c>
      <c r="F587" s="17" t="n"/>
      <c r="G587" s="9" t="n">
        <v>50</v>
      </c>
      <c r="H587" s="9" t="n">
        <v>138</v>
      </c>
      <c r="I587" s="9" t="inlineStr">
        <is>
          <t>Bullpen Depth Arm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</f>
        <v/>
      </c>
      <c r="AD587" s="15">
        <f>SUMPRODUCT(M587:X587,$M$6:$X$6)</f>
        <v/>
      </c>
      <c r="AE587" s="19" t="n"/>
    </row>
    <row r="588">
      <c r="A588" s="9" t="n">
        <v>682995</v>
      </c>
      <c r="B588" s="9" t="inlineStr">
        <is>
          <t>Hunter Barco</t>
        </is>
      </c>
      <c r="C588" s="9" t="inlineStr">
        <is>
          <t>PIT</t>
        </is>
      </c>
      <c r="D588" s="9" t="n">
        <v>26</v>
      </c>
      <c r="E588" s="17" t="inlineStr">
        <is>
          <t>L</t>
        </is>
      </c>
      <c r="F588" s="17" t="n"/>
      <c r="G588" s="9" t="n">
        <v>60</v>
      </c>
      <c r="H588" s="9" t="n">
        <v>72</v>
      </c>
      <c r="I588" s="9" t="inlineStr">
        <is>
          <t>Bullpen Depth Arm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</f>
        <v/>
      </c>
      <c r="AD588" s="15">
        <f>SUMPRODUCT(M588:X588,$M$6:$X$6)</f>
        <v/>
      </c>
      <c r="AE588" s="19" t="n"/>
    </row>
    <row r="589">
      <c r="A589" s="9" t="n">
        <v>678024</v>
      </c>
      <c r="B589" s="9" t="inlineStr">
        <is>
          <t>Mike Vasil</t>
        </is>
      </c>
      <c r="C589" s="9" t="inlineStr">
        <is>
          <t>CWS</t>
        </is>
      </c>
      <c r="D589" s="9" t="n">
        <v>27</v>
      </c>
      <c r="E589" s="17" t="inlineStr">
        <is>
          <t>R</t>
        </is>
      </c>
      <c r="F589" s="17" t="n"/>
      <c r="G589" s="9" t="n">
        <v>423</v>
      </c>
      <c r="H589" s="9" t="n">
        <v>423</v>
      </c>
      <c r="I589" s="9" t="inlineStr">
        <is>
          <t>Bullpen Depth Arm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</f>
        <v/>
      </c>
      <c r="AD589" s="15">
        <f>SUMPRODUCT(M589:X589,$M$6:$X$6)</f>
        <v/>
      </c>
      <c r="AE589" s="19" t="n"/>
    </row>
    <row r="590">
      <c r="A590" s="9" t="n">
        <v>676467</v>
      </c>
      <c r="B590" s="9" t="inlineStr">
        <is>
          <t>Colton Gordon</t>
        </is>
      </c>
      <c r="C590" s="9" t="inlineStr">
        <is>
          <t>HOU</t>
        </is>
      </c>
      <c r="D590" s="9" t="n">
        <v>28</v>
      </c>
      <c r="E590" s="17" t="inlineStr">
        <is>
          <t>L</t>
        </is>
      </c>
      <c r="F590" s="17" t="n"/>
      <c r="G590" s="9" t="n">
        <v>50</v>
      </c>
      <c r="H590" s="9" t="n">
        <v>429</v>
      </c>
      <c r="I590" s="9" t="inlineStr">
        <is>
          <t>End-of-Rotation Starter (SP4-5)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</f>
        <v/>
      </c>
      <c r="AD590" s="15">
        <f>SUMPRODUCT(M590:X590,$M$6:$X$6)</f>
        <v/>
      </c>
      <c r="AE590" s="19" t="n"/>
    </row>
    <row r="591">
      <c r="A591" s="9" t="n">
        <v>663436</v>
      </c>
      <c r="B591" s="9" t="inlineStr">
        <is>
          <t>Davis Martin</t>
        </is>
      </c>
      <c r="C591" s="9" t="inlineStr">
        <is>
          <t>CWS</t>
        </is>
      </c>
      <c r="D591" s="9" t="n">
        <v>30</v>
      </c>
      <c r="E591" s="17" t="inlineStr">
        <is>
          <t>R</t>
        </is>
      </c>
      <c r="F591" s="17" t="n"/>
      <c r="G591" s="9" t="n">
        <v>288</v>
      </c>
      <c r="H591" s="9" t="n">
        <v>1378</v>
      </c>
      <c r="I591" s="9" t="inlineStr">
        <is>
          <t>Mid-Rotation Starter (SP2-3)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</f>
        <v/>
      </c>
      <c r="AD591" s="15">
        <f>SUMPRODUCT(M591:X591,$M$6:$X$6)</f>
        <v/>
      </c>
      <c r="AE591" s="19" t="n"/>
    </row>
    <row r="592">
      <c r="A592" s="9" t="n">
        <v>543101</v>
      </c>
      <c r="B592" s="9" t="inlineStr">
        <is>
          <t>Anthony DeSclafani</t>
        </is>
      </c>
      <c r="C592" s="9" t="inlineStr">
        <is>
          <t>ARI</t>
        </is>
      </c>
      <c r="D592" s="9" t="n">
        <v>37</v>
      </c>
      <c r="E592" s="17" t="inlineStr">
        <is>
          <t>R</t>
        </is>
      </c>
      <c r="F592" s="17" t="n"/>
      <c r="G592" s="9" t="n">
        <v>169</v>
      </c>
      <c r="H592" s="9" t="n">
        <v>682</v>
      </c>
      <c r="I592" s="9" t="inlineStr">
        <is>
          <t>Bullpen Depth Arm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</f>
        <v/>
      </c>
      <c r="AD592" s="15">
        <f>SUMPRODUCT(M592:X592,$M$6:$X$6)</f>
        <v/>
      </c>
      <c r="AE592" s="19" t="n"/>
    </row>
    <row r="593">
      <c r="A593" s="9" t="n">
        <v>663562</v>
      </c>
      <c r="B593" s="9" t="inlineStr">
        <is>
          <t>Noah Davis</t>
        </is>
      </c>
      <c r="C593" s="9" t="inlineStr">
        <is>
          <t>MIN</t>
        </is>
      </c>
      <c r="D593" s="9" t="n">
        <v>30</v>
      </c>
      <c r="E593" s="17" t="inlineStr">
        <is>
          <t>R</t>
        </is>
      </c>
      <c r="F593" s="17" t="n"/>
      <c r="G593" s="9" t="n">
        <v>65</v>
      </c>
      <c r="H593" s="9" t="n">
        <v>314</v>
      </c>
      <c r="I593" s="9" t="inlineStr">
        <is>
          <t>Bullpen Depth Arm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</f>
        <v/>
      </c>
      <c r="AD593" s="15">
        <f>SUMPRODUCT(M593:X593,$M$6:$X$6)</f>
        <v/>
      </c>
      <c r="AE593" s="19" t="n"/>
    </row>
    <row r="594">
      <c r="A594" s="9" t="n">
        <v>641745</v>
      </c>
      <c r="B594" s="9" t="inlineStr">
        <is>
          <t>Brad Keller</t>
        </is>
      </c>
      <c r="C594" s="9" t="inlineStr">
        <is>
          <t>PHI</t>
        </is>
      </c>
      <c r="D594" s="9" t="n">
        <v>31</v>
      </c>
      <c r="E594" s="17" t="inlineStr">
        <is>
          <t>R</t>
        </is>
      </c>
      <c r="F594" s="17" t="n"/>
      <c r="G594" s="9" t="n">
        <v>121</v>
      </c>
      <c r="H594" s="9" t="n">
        <v>1417</v>
      </c>
      <c r="I594" s="9" t="inlineStr">
        <is>
          <t>Bullpen Depth Arm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</f>
        <v/>
      </c>
      <c r="AD594" s="15">
        <f>SUMPRODUCT(M594:X594,$M$6:$X$6)</f>
        <v/>
      </c>
      <c r="AE594" s="19" t="n"/>
    </row>
    <row r="595">
      <c r="A595" s="9" t="n">
        <v>666120</v>
      </c>
      <c r="B595" s="9" t="inlineStr">
        <is>
          <t>Ian Anderson</t>
        </is>
      </c>
      <c r="C595" s="9" t="inlineStr">
        <is>
          <t>LAA</t>
        </is>
      </c>
      <c r="D595" s="9" t="n">
        <v>29</v>
      </c>
      <c r="E595" s="17" t="inlineStr">
        <is>
          <t>R</t>
        </is>
      </c>
      <c r="F595" s="17" t="n"/>
      <c r="G595" s="9" t="n">
        <v>51</v>
      </c>
      <c r="H595" s="9" t="n">
        <v>544</v>
      </c>
      <c r="I595" s="9" t="inlineStr">
        <is>
          <t>Bullpen Depth Arm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</f>
        <v/>
      </c>
      <c r="AD595" s="15">
        <f>SUMPRODUCT(M595:X595,$M$6:$X$6)</f>
        <v/>
      </c>
      <c r="AE595" s="19" t="n"/>
    </row>
    <row r="596">
      <c r="A596" s="9" t="n">
        <v>687424</v>
      </c>
      <c r="B596" s="9" t="inlineStr">
        <is>
          <t>Anthony Maldonado</t>
        </is>
      </c>
      <c r="C596" s="9" t="inlineStr">
        <is>
          <t>OAK</t>
        </is>
      </c>
      <c r="D596" s="9" t="n">
        <v>29</v>
      </c>
      <c r="E596" s="17" t="inlineStr">
        <is>
          <t>R</t>
        </is>
      </c>
      <c r="F596" s="17" t="n"/>
      <c r="G596" s="9" t="n">
        <v>33</v>
      </c>
      <c r="H596" s="9" t="n">
        <v>115</v>
      </c>
      <c r="I596" s="9" t="inlineStr">
        <is>
          <t>Bullpen Depth Arm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</f>
        <v/>
      </c>
      <c r="AD596" s="15">
        <f>SUMPRODUCT(M596:X596,$M$6:$X$6)</f>
        <v/>
      </c>
      <c r="AE596" s="19" t="n"/>
    </row>
    <row r="597">
      <c r="A597" s="9" t="n">
        <v>695418</v>
      </c>
      <c r="B597" s="9" t="inlineStr">
        <is>
          <t>Brad Lord</t>
        </is>
      </c>
      <c r="C597" s="9" t="inlineStr">
        <is>
          <t>WSH</t>
        </is>
      </c>
      <c r="D597" s="9" t="n">
        <v>27</v>
      </c>
      <c r="E597" s="17" t="inlineStr">
        <is>
          <t>R</t>
        </is>
      </c>
      <c r="F597" s="17" t="n"/>
      <c r="G597" s="9" t="n">
        <v>179</v>
      </c>
      <c r="H597" s="9" t="n">
        <v>725</v>
      </c>
      <c r="I597" s="9" t="inlineStr">
        <is>
          <t>Late Inning RP (Setup)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</f>
        <v/>
      </c>
      <c r="AD597" s="15">
        <f>SUMPRODUCT(M597:X597,$M$6:$X$6)</f>
        <v/>
      </c>
      <c r="AE597" s="19" t="n"/>
    </row>
    <row r="598">
      <c r="A598" s="9" t="n">
        <v>687931</v>
      </c>
      <c r="B598" s="9" t="inlineStr">
        <is>
          <t>Carson Whisenhunt</t>
        </is>
      </c>
      <c r="C598" s="9" t="inlineStr">
        <is>
          <t>SF</t>
        </is>
      </c>
      <c r="D598" s="9" t="n">
        <v>26</v>
      </c>
      <c r="E598" s="17" t="inlineStr">
        <is>
          <t>L</t>
        </is>
      </c>
      <c r="F598" s="17" t="n"/>
      <c r="G598" s="9" t="n">
        <v>102</v>
      </c>
      <c r="H598" s="9" t="n">
        <v>102</v>
      </c>
      <c r="I598" s="9" t="inlineStr">
        <is>
          <t>End-of-Rotation Starter (SP4-5)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</f>
        <v/>
      </c>
      <c r="AD598" s="15">
        <f>SUMPRODUCT(M598:X598,$M$6:$X$6)</f>
        <v/>
      </c>
      <c r="AE598" s="19" t="n"/>
    </row>
    <row r="599">
      <c r="A599" s="9" t="n">
        <v>686730</v>
      </c>
      <c r="B599" s="9" t="inlineStr">
        <is>
          <t>Carson Spiers</t>
        </is>
      </c>
      <c r="C599" s="9" t="inlineStr">
        <is>
          <t>CIN</t>
        </is>
      </c>
      <c r="D599" s="9" t="n">
        <v>29</v>
      </c>
      <c r="E599" s="17" t="inlineStr">
        <is>
          <t>R</t>
        </is>
      </c>
      <c r="F599" s="17" t="n"/>
      <c r="G599" s="9" t="n">
        <v>60</v>
      </c>
      <c r="H599" s="9" t="n">
        <v>534</v>
      </c>
      <c r="I599" s="9" t="inlineStr">
        <is>
          <t>End-of-Rotation Starter (SP4-5)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</f>
        <v/>
      </c>
      <c r="AD599" s="15">
        <f>SUMPRODUCT(M599:X599,$M$6:$X$6)</f>
        <v/>
      </c>
      <c r="AE599" s="19" t="n"/>
    </row>
    <row r="600">
      <c r="A600" s="9" t="n">
        <v>699911</v>
      </c>
      <c r="B600" s="9" t="inlineStr">
        <is>
          <t>Dugan Darnell</t>
        </is>
      </c>
      <c r="C600" s="9" t="inlineStr">
        <is>
          <t>COL</t>
        </is>
      </c>
      <c r="D600" s="9" t="n">
        <v>30</v>
      </c>
      <c r="E600" s="17" t="inlineStr">
        <is>
          <t>R</t>
        </is>
      </c>
      <c r="F600" s="17" t="n"/>
      <c r="G600" s="9" t="n">
        <v>48</v>
      </c>
      <c r="H600" s="9" t="n">
        <v>48</v>
      </c>
      <c r="I600" s="9" t="inlineStr">
        <is>
          <t>Bullpen Depth Arm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</f>
        <v/>
      </c>
      <c r="AD600" s="15">
        <f>SUMPRODUCT(M600:X600,$M$6:$X$6)</f>
        <v/>
      </c>
      <c r="AE600" s="19" t="n"/>
    </row>
    <row r="601">
      <c r="A601" s="9" t="n">
        <v>677958</v>
      </c>
      <c r="B601" s="9" t="inlineStr">
        <is>
          <t>Kumar Rocker</t>
        </is>
      </c>
      <c r="C601" s="9" t="inlineStr">
        <is>
          <t>TEX</t>
        </is>
      </c>
      <c r="D601" s="9" t="n">
        <v>27</v>
      </c>
      <c r="E601" s="17" t="inlineStr">
        <is>
          <t>R</t>
        </is>
      </c>
      <c r="F601" s="17" t="n"/>
      <c r="G601" s="9" t="n">
        <v>262</v>
      </c>
      <c r="H601" s="9" t="n">
        <v>604</v>
      </c>
      <c r="I601" s="9" t="inlineStr">
        <is>
          <t>End-of-Rotation Starter (SP4-5)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</f>
        <v/>
      </c>
      <c r="AD601" s="15">
        <f>SUMPRODUCT(M601:X601,$M$6:$X$6)</f>
        <v/>
      </c>
      <c r="AE601" s="19" t="n"/>
    </row>
    <row r="602">
      <c r="A602" s="9" t="n">
        <v>663897</v>
      </c>
      <c r="B602" s="9" t="inlineStr">
        <is>
          <t>Luke Williams</t>
        </is>
      </c>
      <c r="C602" s="9" t="inlineStr">
        <is>
          <t>ATL</t>
        </is>
      </c>
      <c r="D602" s="9" t="n">
        <v>30</v>
      </c>
      <c r="E602" s="17" t="inlineStr">
        <is>
          <t>R</t>
        </is>
      </c>
      <c r="F602" s="17" t="n"/>
      <c r="G602" s="9" t="n">
        <v>25</v>
      </c>
      <c r="H602" s="9" t="n">
        <v>47</v>
      </c>
      <c r="I602" s="9" t="inlineStr">
        <is>
          <t>Bullpen Depth Arm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</f>
        <v/>
      </c>
      <c r="AD602" s="15">
        <f>SUMPRODUCT(M602:X602,$M$6:$X$6)</f>
        <v/>
      </c>
      <c r="AE602" s="19" t="n"/>
    </row>
    <row r="603">
      <c r="A603" s="9" t="n">
        <v>650893</v>
      </c>
      <c r="B603" s="9" t="inlineStr">
        <is>
          <t>Génesis Cabrera</t>
        </is>
      </c>
      <c r="C603" s="9" t="inlineStr">
        <is>
          <t>MIN</t>
        </is>
      </c>
      <c r="D603" s="9" t="n">
        <v>30</v>
      </c>
      <c r="E603" s="17" t="inlineStr">
        <is>
          <t>L</t>
        </is>
      </c>
      <c r="F603" s="17" t="n"/>
      <c r="G603" s="9" t="n">
        <v>187</v>
      </c>
      <c r="H603" s="9" t="n">
        <v>891</v>
      </c>
      <c r="I603" s="9" t="inlineStr">
        <is>
          <t>Bullpen Depth Arm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</f>
        <v/>
      </c>
      <c r="AD603" s="15">
        <f>SUMPRODUCT(M603:X603,$M$6:$X$6)</f>
        <v/>
      </c>
      <c r="AE603" s="19" t="n"/>
    </row>
    <row r="604">
      <c r="A604" s="9" t="n">
        <v>608379</v>
      </c>
      <c r="B604" s="9" t="inlineStr">
        <is>
          <t>Michael Wacha</t>
        </is>
      </c>
      <c r="C604" s="9" t="inlineStr">
        <is>
          <t>KC</t>
        </is>
      </c>
      <c r="D604" s="9" t="n">
        <v>35</v>
      </c>
      <c r="E604" s="17" t="inlineStr">
        <is>
          <t>R</t>
        </is>
      </c>
      <c r="F604" s="17" t="n"/>
      <c r="G604" s="9" t="n">
        <v>327</v>
      </c>
      <c r="H604" s="9" t="n">
        <v>2796</v>
      </c>
      <c r="I604" s="9" t="inlineStr">
        <is>
          <t>Mid-Rotation Starter (SP2-3)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</f>
        <v/>
      </c>
      <c r="AD604" s="15">
        <f>SUMPRODUCT(M604:X604,$M$6:$X$6)</f>
        <v/>
      </c>
      <c r="AE604" s="19" t="n"/>
    </row>
    <row r="605">
      <c r="A605" s="9" t="n">
        <v>694680</v>
      </c>
      <c r="B605" s="9" t="inlineStr">
        <is>
          <t>Trevor Martin</t>
        </is>
      </c>
      <c r="C605" s="9" t="inlineStr">
        <is>
          <t>TB</t>
        </is>
      </c>
      <c r="D605" s="9" t="n">
        <v>26</v>
      </c>
      <c r="E605" s="17" t="inlineStr">
        <is>
          <t>R</t>
        </is>
      </c>
      <c r="F605" s="17" t="n"/>
      <c r="G605" s="9" t="n">
        <v>50</v>
      </c>
      <c r="H605" s="9" t="n">
        <v>50</v>
      </c>
      <c r="I605" s="9" t="inlineStr">
        <is>
          <t>Bullpen Depth Arm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</f>
        <v/>
      </c>
      <c r="AD605" s="15">
        <f>SUMPRODUCT(M605:X605,$M$6:$X$6)</f>
        <v/>
      </c>
      <c r="AE605" s="19" t="n"/>
    </row>
    <row r="606">
      <c r="A606" s="9" t="n">
        <v>605335</v>
      </c>
      <c r="B606" s="9" t="inlineStr">
        <is>
          <t>Brandon Leibrandt</t>
        </is>
      </c>
      <c r="C606" s="9" t="inlineStr">
        <is>
          <t>CIN</t>
        </is>
      </c>
      <c r="D606" s="9" t="n">
        <v>34</v>
      </c>
      <c r="E606" s="17" t="inlineStr">
        <is>
          <t>L</t>
        </is>
      </c>
      <c r="F606" s="17" t="n"/>
      <c r="G606" s="9" t="n">
        <v>30</v>
      </c>
      <c r="H606" s="9" t="n">
        <v>62</v>
      </c>
      <c r="I606" s="9" t="inlineStr">
        <is>
          <t>End-of-Rotation Starter (SP4-5)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</f>
        <v/>
      </c>
      <c r="AD606" s="15">
        <f>SUMPRODUCT(M606:X606,$M$6:$X$6)</f>
        <v/>
      </c>
      <c r="AE606" s="19" t="n"/>
    </row>
    <row r="607">
      <c r="A607" s="9" t="n">
        <v>668820</v>
      </c>
      <c r="B607" s="9" t="inlineStr">
        <is>
          <t>Max Kranick</t>
        </is>
      </c>
      <c r="C607" s="9" t="inlineStr">
        <is>
          <t>NYM</t>
        </is>
      </c>
      <c r="D607" s="9" t="n">
        <v>29</v>
      </c>
      <c r="E607" s="17" t="inlineStr">
        <is>
          <t>R</t>
        </is>
      </c>
      <c r="F607" s="17" t="n"/>
      <c r="G607" s="9" t="n">
        <v>148</v>
      </c>
      <c r="H607" s="9" t="n">
        <v>167</v>
      </c>
      <c r="I607" s="9" t="inlineStr">
        <is>
          <t>Bullpen Depth Arm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</f>
        <v/>
      </c>
      <c r="AD607" s="15">
        <f>SUMPRODUCT(M607:X607,$M$6:$X$6)</f>
        <v/>
      </c>
      <c r="AE607" s="19" t="n"/>
    </row>
    <row r="608">
      <c r="A608" s="9" t="n">
        <v>448179</v>
      </c>
      <c r="B608" s="9" t="inlineStr">
        <is>
          <t>Rich Hill</t>
        </is>
      </c>
      <c r="C608" s="9" t="inlineStr">
        <is>
          <t>KC</t>
        </is>
      </c>
      <c r="D608" s="9" t="n">
        <v>47</v>
      </c>
      <c r="E608" s="17" t="inlineStr">
        <is>
          <t>L</t>
        </is>
      </c>
      <c r="F608" s="17" t="n"/>
      <c r="G608" s="9" t="n">
        <v>43</v>
      </c>
      <c r="H608" s="9" t="n">
        <v>1244</v>
      </c>
      <c r="I608" s="9" t="inlineStr">
        <is>
          <t>End-of-Rotation Starter (SP4-5)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</f>
        <v/>
      </c>
      <c r="AD608" s="15">
        <f>SUMPRODUCT(M608:X608,$M$6:$X$6)</f>
        <v/>
      </c>
      <c r="AE608" s="19" t="n"/>
    </row>
    <row r="609">
      <c r="A609" s="9" t="n">
        <v>663567</v>
      </c>
      <c r="B609" s="9" t="inlineStr">
        <is>
          <t>Peter Lambert</t>
        </is>
      </c>
      <c r="C609" s="9" t="inlineStr">
        <is>
          <t>HOU</t>
        </is>
      </c>
      <c r="D609" s="9" t="n">
        <v>30</v>
      </c>
      <c r="E609" s="17" t="inlineStr">
        <is>
          <t>R</t>
        </is>
      </c>
      <c r="F609" s="17" t="n"/>
      <c r="G609" s="9" t="n">
        <v>214</v>
      </c>
      <c r="H609" s="9" t="n">
        <v>869</v>
      </c>
      <c r="I609" s="9" t="inlineStr">
        <is>
          <t>End-of-Rotation Starter (SP4-5)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</f>
        <v/>
      </c>
      <c r="AD609" s="15">
        <f>SUMPRODUCT(M609:X609,$M$6:$X$6)</f>
        <v/>
      </c>
      <c r="AE609" s="19" t="n"/>
    </row>
    <row r="610">
      <c r="A610" s="9" t="n">
        <v>519326</v>
      </c>
      <c r="B610" s="9" t="inlineStr">
        <is>
          <t>Hunter Strickland</t>
        </is>
      </c>
      <c r="C610" s="9" t="inlineStr">
        <is>
          <t>LAA</t>
        </is>
      </c>
      <c r="D610" s="9" t="n">
        <v>38</v>
      </c>
      <c r="E610" s="17" t="inlineStr">
        <is>
          <t>R</t>
        </is>
      </c>
      <c r="F610" s="17" t="n"/>
      <c r="G610" s="9" t="n">
        <v>91</v>
      </c>
      <c r="H610" s="9" t="n">
        <v>669</v>
      </c>
      <c r="I610" s="9" t="inlineStr">
        <is>
          <t>Bullpen Depth Arm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</f>
        <v/>
      </c>
      <c r="AD610" s="15">
        <f>SUMPRODUCT(M610:X610,$M$6:$X$6)</f>
        <v/>
      </c>
      <c r="AE610" s="19" t="n"/>
    </row>
    <row r="611">
      <c r="A611" s="9" t="n">
        <v>672582</v>
      </c>
      <c r="B611" s="9" t="inlineStr">
        <is>
          <t>Angel Zerpa</t>
        </is>
      </c>
      <c r="C611" s="9" t="inlineStr">
        <is>
          <t>MIL</t>
        </is>
      </c>
      <c r="D611" s="9" t="n">
        <v>27</v>
      </c>
      <c r="E611" s="17" t="inlineStr">
        <is>
          <t>L</t>
        </is>
      </c>
      <c r="F611" s="17" t="n"/>
      <c r="G611" s="9" t="n">
        <v>55</v>
      </c>
      <c r="H611" s="9" t="n">
        <v>795</v>
      </c>
      <c r="I611" s="9" t="inlineStr">
        <is>
          <t>Bullpen Depth Arm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</f>
        <v/>
      </c>
      <c r="AD611" s="15">
        <f>SUMPRODUCT(M611:X611,$M$6:$X$6)</f>
        <v/>
      </c>
      <c r="AE611" s="19" t="n"/>
    </row>
    <row r="612">
      <c r="A612" s="9" t="n">
        <v>829272</v>
      </c>
      <c r="B612" s="9" t="inlineStr">
        <is>
          <t>Shinnosuke Ogasawara</t>
        </is>
      </c>
      <c r="C612" s="9" t="inlineStr">
        <is>
          <t>WSH</t>
        </is>
      </c>
      <c r="D612" s="9" t="n">
        <v>29</v>
      </c>
      <c r="E612" s="17" t="inlineStr">
        <is>
          <t>L</t>
        </is>
      </c>
      <c r="F612" s="17" t="n"/>
      <c r="G612" s="9" t="n">
        <v>173</v>
      </c>
      <c r="H612" s="9" t="n">
        <v>173</v>
      </c>
      <c r="I612" s="9" t="inlineStr">
        <is>
          <t>Bullpen Depth Arm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</f>
        <v/>
      </c>
      <c r="AD612" s="15">
        <f>SUMPRODUCT(M612:X612,$M$6:$X$6)</f>
        <v/>
      </c>
      <c r="AE612" s="19" t="n"/>
    </row>
    <row r="613">
      <c r="A613" s="9" t="n">
        <v>502043</v>
      </c>
      <c r="B613" s="9" t="inlineStr">
        <is>
          <t>Kyle Gibson</t>
        </is>
      </c>
      <c r="C613" s="9" t="inlineStr">
        <is>
          <t>BAL</t>
        </is>
      </c>
      <c r="D613" s="9" t="n">
        <v>39</v>
      </c>
      <c r="E613" s="17" t="inlineStr">
        <is>
          <t>R</t>
        </is>
      </c>
      <c r="F613" s="17" t="n"/>
      <c r="G613" s="9" t="n">
        <v>73</v>
      </c>
      <c r="H613" s="9" t="n">
        <v>2320</v>
      </c>
      <c r="I613" s="9" t="inlineStr">
        <is>
          <t>Mid-Rotation Starter (SP2-3)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</f>
        <v/>
      </c>
      <c r="AD613" s="15">
        <f>SUMPRODUCT(M613:X613,$M$6:$X$6)</f>
        <v/>
      </c>
      <c r="AE613" s="19" t="n"/>
    </row>
    <row r="614">
      <c r="A614" s="9" t="n">
        <v>663399</v>
      </c>
      <c r="B614" s="9" t="inlineStr">
        <is>
          <t>Brandon Waddell</t>
        </is>
      </c>
      <c r="C614" s="9" t="inlineStr">
        <is>
          <t>NYM</t>
        </is>
      </c>
      <c r="D614" s="9" t="n">
        <v>33</v>
      </c>
      <c r="E614" s="17" t="inlineStr">
        <is>
          <t>L</t>
        </is>
      </c>
      <c r="F614" s="17" t="n"/>
      <c r="G614" s="9" t="n">
        <v>134</v>
      </c>
      <c r="H614" s="9" t="n">
        <v>134</v>
      </c>
      <c r="I614" s="9" t="inlineStr">
        <is>
          <t>Bullpen Depth Arm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</f>
        <v/>
      </c>
      <c r="AD614" s="15">
        <f>SUMPRODUCT(M614:X614,$M$6:$X$6)</f>
        <v/>
      </c>
      <c r="AE614" s="19" t="n"/>
    </row>
    <row r="615">
      <c r="A615" s="9" t="n">
        <v>680684</v>
      </c>
      <c r="B615" s="9" t="inlineStr">
        <is>
          <t>Gunnar Hoglund</t>
        </is>
      </c>
      <c r="C615" s="9" t="inlineStr">
        <is>
          <t>OAK</t>
        </is>
      </c>
      <c r="D615" s="9" t="n">
        <v>27</v>
      </c>
      <c r="E615" s="17" t="inlineStr">
        <is>
          <t>R</t>
        </is>
      </c>
      <c r="F615" s="17" t="n"/>
      <c r="G615" s="9" t="n">
        <v>139</v>
      </c>
      <c r="H615" s="9" t="n">
        <v>139</v>
      </c>
      <c r="I615" s="9" t="inlineStr">
        <is>
          <t>Mid-Rotation Starter (SP2-3)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</f>
        <v/>
      </c>
      <c r="AD615" s="15">
        <f>SUMPRODUCT(M615:X615,$M$6:$X$6)</f>
        <v/>
      </c>
      <c r="AE615" s="19" t="n"/>
    </row>
    <row r="616">
      <c r="A616" s="9" t="n">
        <v>688107</v>
      </c>
      <c r="B616" s="9" t="inlineStr">
        <is>
          <t>Robert Gasser</t>
        </is>
      </c>
      <c r="C616" s="9" t="inlineStr">
        <is>
          <t>MIL</t>
        </is>
      </c>
      <c r="D616" s="9" t="n">
        <v>28</v>
      </c>
      <c r="E616" s="17" t="inlineStr">
        <is>
          <t>L</t>
        </is>
      </c>
      <c r="F616" s="17" t="n"/>
      <c r="G616" s="9" t="n">
        <v>87</v>
      </c>
      <c r="H616" s="9" t="n">
        <v>230</v>
      </c>
      <c r="I616" s="9" t="inlineStr">
        <is>
          <t>End-of-Rotation Starter (SP4-5)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</f>
        <v/>
      </c>
      <c r="AD616" s="15">
        <f>SUMPRODUCT(M616:X616,$M$6:$X$6)</f>
        <v/>
      </c>
      <c r="AE616" s="19" t="n"/>
    </row>
    <row r="617">
      <c r="A617" s="9" t="n">
        <v>694918</v>
      </c>
      <c r="B617" s="9" t="inlineStr">
        <is>
          <t>Blade Tidwell</t>
        </is>
      </c>
      <c r="C617" s="9" t="inlineStr">
        <is>
          <t>SF</t>
        </is>
      </c>
      <c r="D617" s="9" t="n">
        <v>26</v>
      </c>
      <c r="E617" s="17" t="inlineStr">
        <is>
          <t>R</t>
        </is>
      </c>
      <c r="F617" s="17" t="n"/>
      <c r="G617" s="9" t="n">
        <v>47</v>
      </c>
      <c r="H617" s="9" t="n">
        <v>125</v>
      </c>
      <c r="I617" s="9" t="inlineStr">
        <is>
          <t>Bullpen Depth Arm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</f>
        <v/>
      </c>
      <c r="AD617" s="15">
        <f>SUMPRODUCT(M617:X617,$M$6:$X$6)</f>
        <v/>
      </c>
      <c r="AE617" s="19" t="n"/>
    </row>
    <row r="618">
      <c r="A618" s="9" t="n">
        <v>645261</v>
      </c>
      <c r="B618" s="9" t="inlineStr">
        <is>
          <t>Sandy Alcantara</t>
        </is>
      </c>
      <c r="C618" s="9" t="inlineStr">
        <is>
          <t>MIA</t>
        </is>
      </c>
      <c r="D618" s="9" t="n">
        <v>31</v>
      </c>
      <c r="E618" s="17" t="inlineStr">
        <is>
          <t>R</t>
        </is>
      </c>
      <c r="F618" s="17" t="n"/>
      <c r="G618" s="9" t="n">
        <v>374</v>
      </c>
      <c r="H618" s="9" t="n">
        <v>2767</v>
      </c>
      <c r="I618" s="9" t="inlineStr">
        <is>
          <t>Ace (SP1)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</f>
        <v/>
      </c>
      <c r="AD618" s="15">
        <f>SUMPRODUCT(M618:X618,$M$6:$X$6)</f>
        <v/>
      </c>
      <c r="AE618" s="19" t="n"/>
    </row>
    <row r="619">
      <c r="A619" s="9" t="n">
        <v>592791</v>
      </c>
      <c r="B619" s="9" t="inlineStr">
        <is>
          <t>Jameson Taillon</t>
        </is>
      </c>
      <c r="C619" s="9" t="inlineStr">
        <is>
          <t>CHC</t>
        </is>
      </c>
      <c r="D619" s="9" t="n">
        <v>35</v>
      </c>
      <c r="E619" s="17" t="inlineStr">
        <is>
          <t>R</t>
        </is>
      </c>
      <c r="F619" s="17" t="n"/>
      <c r="G619" s="9" t="n">
        <v>287</v>
      </c>
      <c r="H619" s="9" t="n">
        <v>2864</v>
      </c>
      <c r="I619" s="9" t="inlineStr">
        <is>
          <t>Mid-Rotation Starter (SP2-3)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</f>
        <v/>
      </c>
      <c r="AD619" s="15">
        <f>SUMPRODUCT(M619:X619,$M$6:$X$6)</f>
        <v/>
      </c>
      <c r="AE619" s="19" t="n"/>
    </row>
    <row r="620">
      <c r="A620" s="9" t="n">
        <v>687562</v>
      </c>
      <c r="B620" s="9" t="inlineStr">
        <is>
          <t>Jake Bennett</t>
        </is>
      </c>
      <c r="C620" s="9" t="inlineStr">
        <is>
          <t>BOS</t>
        </is>
      </c>
      <c r="D620" s="9" t="n">
        <v>26</v>
      </c>
      <c r="E620" s="17" t="inlineStr">
        <is>
          <t>L</t>
        </is>
      </c>
      <c r="F620" s="17" t="n"/>
      <c r="G620" s="9" t="n">
        <v>42</v>
      </c>
      <c r="H620" s="9" t="n">
        <v>42</v>
      </c>
      <c r="I620" s="9" t="inlineStr">
        <is>
          <t>Mid-Rotation Starter (SP2-3)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</f>
        <v/>
      </c>
      <c r="AD620" s="15">
        <f>SUMPRODUCT(M620:X620,$M$6:$X$6)</f>
        <v/>
      </c>
      <c r="AE620" s="19" t="n"/>
    </row>
    <row r="621">
      <c r="A621" s="9" t="n">
        <v>621112</v>
      </c>
      <c r="B621" s="9" t="inlineStr">
        <is>
          <t>Paul Blackburn</t>
        </is>
      </c>
      <c r="C621" s="9" t="inlineStr">
        <is>
          <t>NYY</t>
        </is>
      </c>
      <c r="D621" s="9" t="n">
        <v>33</v>
      </c>
      <c r="E621" s="17" t="inlineStr">
        <is>
          <t>R</t>
        </is>
      </c>
      <c r="F621" s="17" t="n"/>
      <c r="G621" s="9" t="n">
        <v>127</v>
      </c>
      <c r="H621" s="9" t="n">
        <v>1549</v>
      </c>
      <c r="I621" s="9" t="inlineStr">
        <is>
          <t>End-of-Rotation Starter (SP4-5)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</f>
        <v/>
      </c>
      <c r="AD621" s="15">
        <f>SUMPRODUCT(M621:X621,$M$6:$X$6)</f>
        <v/>
      </c>
      <c r="AE621" s="19" t="n"/>
    </row>
    <row r="622">
      <c r="A622" s="9" t="n">
        <v>669674</v>
      </c>
      <c r="B622" s="9" t="inlineStr">
        <is>
          <t>Sam Long</t>
        </is>
      </c>
      <c r="C622" s="9" t="inlineStr">
        <is>
          <t>KC</t>
        </is>
      </c>
      <c r="D622" s="9" t="n">
        <v>31</v>
      </c>
      <c r="E622" s="17" t="inlineStr">
        <is>
          <t>L</t>
        </is>
      </c>
      <c r="F622" s="17" t="n"/>
      <c r="G622" s="9" t="n">
        <v>189</v>
      </c>
      <c r="H622" s="9" t="n">
        <v>745</v>
      </c>
      <c r="I622" s="9" t="inlineStr">
        <is>
          <t>Bullpen Depth Arm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</f>
        <v/>
      </c>
      <c r="AD622" s="15">
        <f>SUMPRODUCT(M622:X622,$M$6:$X$6)</f>
        <v/>
      </c>
      <c r="AE622" s="19" t="n"/>
    </row>
    <row r="623">
      <c r="A623" s="9" t="n">
        <v>669438</v>
      </c>
      <c r="B623" s="9" t="inlineStr">
        <is>
          <t>Mason Englert</t>
        </is>
      </c>
      <c r="C623" s="9" t="inlineStr">
        <is>
          <t>TB</t>
        </is>
      </c>
      <c r="D623" s="9" t="n">
        <v>27</v>
      </c>
      <c r="E623" s="17" t="inlineStr">
        <is>
          <t>R</t>
        </is>
      </c>
      <c r="F623" s="17" t="n"/>
      <c r="G623" s="9" t="n">
        <v>92</v>
      </c>
      <c r="H623" s="9" t="n">
        <v>623</v>
      </c>
      <c r="I623" s="9" t="inlineStr">
        <is>
          <t>Bullpen Depth Arm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</f>
        <v/>
      </c>
      <c r="AD623" s="15">
        <f>SUMPRODUCT(M623:X623,$M$6:$X$6)</f>
        <v/>
      </c>
      <c r="AE623" s="19" t="n"/>
    </row>
    <row r="624">
      <c r="A624" s="9" t="n">
        <v>681146</v>
      </c>
      <c r="B624" s="9" t="inlineStr">
        <is>
          <t>Jonah Bride</t>
        </is>
      </c>
      <c r="C624" s="9" t="inlineStr">
        <is>
          <t>MIN</t>
        </is>
      </c>
      <c r="D624" s="9" t="n">
        <v>31</v>
      </c>
      <c r="E624" s="17" t="inlineStr">
        <is>
          <t>R</t>
        </is>
      </c>
      <c r="F624" s="17" t="n"/>
      <c r="G624" s="9" t="n">
        <v>37</v>
      </c>
      <c r="H624" s="9" t="n">
        <v>37</v>
      </c>
      <c r="I624" s="9" t="inlineStr">
        <is>
          <t>Bullpen Depth Arm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</f>
        <v/>
      </c>
      <c r="AD624" s="15">
        <f>SUMPRODUCT(M624:X624,$M$6:$X$6)</f>
        <v/>
      </c>
      <c r="AE624" s="19" t="n"/>
    </row>
    <row r="625">
      <c r="A625" s="9" t="n">
        <v>676664</v>
      </c>
      <c r="B625" s="9" t="inlineStr">
        <is>
          <t>JP Sears</t>
        </is>
      </c>
      <c r="C625" s="9" t="inlineStr">
        <is>
          <t>SD</t>
        </is>
      </c>
      <c r="D625" s="9" t="n">
        <v>31</v>
      </c>
      <c r="E625" s="17" t="inlineStr">
        <is>
          <t>L</t>
        </is>
      </c>
      <c r="F625" s="17" t="n"/>
      <c r="G625" s="9" t="n">
        <v>583</v>
      </c>
      <c r="H625" s="9" t="n">
        <v>2364</v>
      </c>
      <c r="I625" s="9" t="inlineStr">
        <is>
          <t>Mid-Rotation Starter (SP2-3)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</f>
        <v/>
      </c>
      <c r="AD625" s="15">
        <f>SUMPRODUCT(M625:X625,$M$6:$X$6)</f>
        <v/>
      </c>
      <c r="AE625" s="19" t="n"/>
    </row>
    <row r="626">
      <c r="A626" s="9" t="n">
        <v>696136</v>
      </c>
      <c r="B626" s="9" t="inlineStr">
        <is>
          <t>Jordan Wicks</t>
        </is>
      </c>
      <c r="C626" s="9" t="inlineStr">
        <is>
          <t>CHC</t>
        </is>
      </c>
      <c r="D626" s="9" t="n">
        <v>27</v>
      </c>
      <c r="E626" s="17" t="inlineStr">
        <is>
          <t>L</t>
        </is>
      </c>
      <c r="F626" s="17" t="n"/>
      <c r="G626" s="9" t="n">
        <v>34</v>
      </c>
      <c r="H626" s="9" t="n">
        <v>460</v>
      </c>
      <c r="I626" s="9" t="inlineStr">
        <is>
          <t>Bullpen Depth Arm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</f>
        <v/>
      </c>
      <c r="AD626" s="15">
        <f>SUMPRODUCT(M626:X626,$M$6:$X$6)</f>
        <v/>
      </c>
      <c r="AE626" s="19" t="n"/>
    </row>
    <row r="627">
      <c r="A627" s="9" t="n">
        <v>595928</v>
      </c>
      <c r="B627" s="9" t="inlineStr">
        <is>
          <t>John Curtiss</t>
        </is>
      </c>
      <c r="C627" s="9" t="inlineStr">
        <is>
          <t>ARI</t>
        </is>
      </c>
      <c r="D627" s="9" t="n">
        <v>34</v>
      </c>
      <c r="E627" s="17" t="inlineStr">
        <is>
          <t>R</t>
        </is>
      </c>
      <c r="F627" s="17" t="n"/>
      <c r="G627" s="9" t="n">
        <v>141</v>
      </c>
      <c r="H627" s="9" t="n">
        <v>234</v>
      </c>
      <c r="I627" s="9" t="inlineStr">
        <is>
          <t>Bullpen Depth Arm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</f>
        <v/>
      </c>
      <c r="AD627" s="15">
        <f>SUMPRODUCT(M627:X627,$M$6:$X$6)</f>
        <v/>
      </c>
      <c r="AE627" s="19" t="n"/>
    </row>
    <row r="628">
      <c r="A628" s="9" t="n">
        <v>681517</v>
      </c>
      <c r="B628" s="9" t="inlineStr">
        <is>
          <t>Kyle Leahy</t>
        </is>
      </c>
      <c r="C628" s="9" t="inlineStr">
        <is>
          <t>STL</t>
        </is>
      </c>
      <c r="D628" s="9" t="n">
        <v>30</v>
      </c>
      <c r="E628" s="17" t="inlineStr">
        <is>
          <t>R</t>
        </is>
      </c>
      <c r="F628" s="17" t="n"/>
      <c r="G628" s="9" t="n">
        <v>269</v>
      </c>
      <c r="H628" s="9" t="n">
        <v>838</v>
      </c>
      <c r="I628" s="9" t="inlineStr">
        <is>
          <t>Bullpen Depth Arm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</f>
        <v/>
      </c>
      <c r="AD628" s="15">
        <f>SUMPRODUCT(M628:X628,$M$6:$X$6)</f>
        <v/>
      </c>
      <c r="AE628" s="19" t="n"/>
    </row>
    <row r="629">
      <c r="A629" s="9" t="n">
        <v>695549</v>
      </c>
      <c r="B629" s="9" t="inlineStr">
        <is>
          <t>Jackson Jobe</t>
        </is>
      </c>
      <c r="C629" s="9" t="inlineStr">
        <is>
          <t>DET</t>
        </is>
      </c>
      <c r="D629" s="9" t="n">
        <v>24</v>
      </c>
      <c r="E629" s="17" t="inlineStr">
        <is>
          <t>R</t>
        </is>
      </c>
      <c r="F629" s="17" t="n"/>
      <c r="G629" s="9" t="n">
        <v>218</v>
      </c>
      <c r="H629" s="9" t="n">
        <v>234</v>
      </c>
      <c r="I629" s="9" t="inlineStr">
        <is>
          <t>End-of-Rotation Starter (SP4-5)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</f>
        <v/>
      </c>
      <c r="AD629" s="15">
        <f>SUMPRODUCT(M629:X629,$M$6:$X$6)</f>
        <v/>
      </c>
      <c r="AE629" s="19" t="n"/>
    </row>
    <row r="630">
      <c r="A630" s="9" t="n">
        <v>666711</v>
      </c>
      <c r="B630" s="9" t="inlineStr">
        <is>
          <t>Joel Peguero</t>
        </is>
      </c>
      <c r="C630" s="9" t="inlineStr">
        <is>
          <t>SF</t>
        </is>
      </c>
      <c r="D630" s="9" t="n">
        <v>30</v>
      </c>
      <c r="E630" s="17" t="inlineStr">
        <is>
          <t>R</t>
        </is>
      </c>
      <c r="F630" s="17" t="n"/>
      <c r="G630" s="9" t="n">
        <v>48</v>
      </c>
      <c r="H630" s="9" t="n">
        <v>134</v>
      </c>
      <c r="I630" s="9" t="inlineStr">
        <is>
          <t>Bullpen Depth Arm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</f>
        <v/>
      </c>
      <c r="AD630" s="15">
        <f>SUMPRODUCT(M630:X630,$M$6:$X$6)</f>
        <v/>
      </c>
      <c r="AE630" s="19" t="n"/>
    </row>
    <row r="631">
      <c r="A631" s="9" t="n">
        <v>691251</v>
      </c>
      <c r="B631" s="9" t="inlineStr">
        <is>
          <t>Andry Lara</t>
        </is>
      </c>
      <c r="C631" s="9" t="inlineStr">
        <is>
          <t>WSH</t>
        </is>
      </c>
      <c r="D631" s="9" t="n">
        <v>24</v>
      </c>
      <c r="E631" s="17" t="inlineStr">
        <is>
          <t>R</t>
        </is>
      </c>
      <c r="F631" s="17" t="n"/>
      <c r="G631" s="9" t="n">
        <v>78</v>
      </c>
      <c r="H631" s="9" t="n">
        <v>78</v>
      </c>
      <c r="I631" s="9" t="inlineStr">
        <is>
          <t>Bullpen Depth Arm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</f>
        <v/>
      </c>
      <c r="AD631" s="15">
        <f>SUMPRODUCT(M631:X631,$M$6:$X$6)</f>
        <v/>
      </c>
      <c r="AE631" s="19" t="n"/>
    </row>
    <row r="632">
      <c r="A632" s="9" t="n">
        <v>690916</v>
      </c>
      <c r="B632" s="9" t="inlineStr">
        <is>
          <t>Richard Fitts</t>
        </is>
      </c>
      <c r="C632" s="9" t="inlineStr">
        <is>
          <t>BOS</t>
        </is>
      </c>
      <c r="D632" s="9" t="n">
        <v>27</v>
      </c>
      <c r="E632" s="17" t="inlineStr">
        <is>
          <t>R</t>
        </is>
      </c>
      <c r="F632" s="17" t="n"/>
      <c r="G632" s="9" t="n">
        <v>195</v>
      </c>
      <c r="H632" s="9" t="n">
        <v>280</v>
      </c>
      <c r="I632" s="9" t="inlineStr">
        <is>
          <t>End-of-Rotation Starter (SP4-5)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</f>
        <v/>
      </c>
      <c r="AD632" s="15">
        <f>SUMPRODUCT(M632:X632,$M$6:$X$6)</f>
        <v/>
      </c>
      <c r="AE632" s="19" t="n"/>
    </row>
    <row r="633">
      <c r="A633" s="9" t="n">
        <v>547184</v>
      </c>
      <c r="B633" s="9" t="inlineStr">
        <is>
          <t>Michael Kelly</t>
        </is>
      </c>
      <c r="C633" s="9" t="inlineStr">
        <is>
          <t>OAK</t>
        </is>
      </c>
      <c r="D633" s="9" t="n">
        <v>34</v>
      </c>
      <c r="E633" s="17" t="inlineStr">
        <is>
          <t>R</t>
        </is>
      </c>
      <c r="F633" s="17" t="n"/>
      <c r="G633" s="9" t="n">
        <v>32</v>
      </c>
      <c r="H633" s="9" t="n">
        <v>413</v>
      </c>
      <c r="I633" s="9" t="inlineStr">
        <is>
          <t>Bullpen Depth Arm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</f>
        <v/>
      </c>
      <c r="AD633" s="15">
        <f>SUMPRODUCT(M633:X633,$M$6:$X$6)</f>
        <v/>
      </c>
      <c r="AE633" s="19" t="n"/>
    </row>
    <row r="634">
      <c r="A634" s="9" t="n">
        <v>688297</v>
      </c>
      <c r="B634" s="9" t="inlineStr">
        <is>
          <t>Chris Roycroft</t>
        </is>
      </c>
      <c r="C634" s="9" t="inlineStr">
        <is>
          <t>STL</t>
        </is>
      </c>
      <c r="D634" s="9" t="n">
        <v>30</v>
      </c>
      <c r="E634" s="17" t="inlineStr">
        <is>
          <t>R</t>
        </is>
      </c>
      <c r="F634" s="17" t="n"/>
      <c r="G634" s="9" t="n">
        <v>25</v>
      </c>
      <c r="H634" s="9" t="n">
        <v>281</v>
      </c>
      <c r="I634" s="9" t="inlineStr">
        <is>
          <t>Bullpen Depth Arm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</f>
        <v/>
      </c>
      <c r="AD634" s="15">
        <f>SUMPRODUCT(M634:X634,$M$6:$X$6)</f>
        <v/>
      </c>
      <c r="AE634" s="19" t="n"/>
    </row>
    <row r="635">
      <c r="A635" s="9" t="n">
        <v>672335</v>
      </c>
      <c r="B635" s="9" t="inlineStr">
        <is>
          <t>Cionel Pérez</t>
        </is>
      </c>
      <c r="C635" s="9" t="inlineStr">
        <is>
          <t>NYM</t>
        </is>
      </c>
      <c r="D635" s="9" t="n">
        <v>31</v>
      </c>
      <c r="E635" s="17" t="inlineStr">
        <is>
          <t>L</t>
        </is>
      </c>
      <c r="F635" s="17" t="n"/>
      <c r="G635" s="9" t="n">
        <v>87</v>
      </c>
      <c r="H635" s="9" t="n">
        <v>916</v>
      </c>
      <c r="I635" s="9" t="inlineStr">
        <is>
          <t>Bullpen Depth Arm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</f>
        <v/>
      </c>
      <c r="AD635" s="15">
        <f>SUMPRODUCT(M635:X635,$M$6:$X$6)</f>
        <v/>
      </c>
      <c r="AE635" s="19" t="n"/>
    </row>
    <row r="636">
      <c r="A636" s="9" t="n">
        <v>677944</v>
      </c>
      <c r="B636" s="9" t="inlineStr">
        <is>
          <t>Slade Cecconi</t>
        </is>
      </c>
      <c r="C636" s="9" t="inlineStr">
        <is>
          <t>CLE</t>
        </is>
      </c>
      <c r="D636" s="9" t="n">
        <v>28</v>
      </c>
      <c r="E636" s="17" t="inlineStr">
        <is>
          <t>R</t>
        </is>
      </c>
      <c r="F636" s="17" t="n"/>
      <c r="G636" s="9" t="n">
        <v>316</v>
      </c>
      <c r="H636" s="9" t="n">
        <v>1310</v>
      </c>
      <c r="I636" s="9" t="inlineStr">
        <is>
          <t>Mid-Rotation Starter (SP2-3)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</f>
        <v/>
      </c>
      <c r="AD636" s="15">
        <f>SUMPRODUCT(M636:X636,$M$6:$X$6)</f>
        <v/>
      </c>
      <c r="AE636" s="19" t="n"/>
    </row>
    <row r="637">
      <c r="A637" s="9" t="n">
        <v>685299</v>
      </c>
      <c r="B637" s="9" t="inlineStr">
        <is>
          <t>Tanner Gordon</t>
        </is>
      </c>
      <c r="C637" s="9" t="inlineStr">
        <is>
          <t>COL</t>
        </is>
      </c>
      <c r="D637" s="9" t="n">
        <v>29</v>
      </c>
      <c r="E637" s="17" t="inlineStr">
        <is>
          <t>R</t>
        </is>
      </c>
      <c r="F637" s="17" t="n"/>
      <c r="G637" s="9" t="n">
        <v>158</v>
      </c>
      <c r="H637" s="9" t="n">
        <v>655</v>
      </c>
      <c r="I637" s="9" t="inlineStr">
        <is>
          <t>End-of-Rotation Starter (SP4-5)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</f>
        <v/>
      </c>
      <c r="AD637" s="15">
        <f>SUMPRODUCT(M637:X637,$M$6:$X$6)</f>
        <v/>
      </c>
      <c r="AE637" s="19" t="n"/>
    </row>
    <row r="638">
      <c r="A638" s="9" t="n">
        <v>680573</v>
      </c>
      <c r="B638" s="9" t="inlineStr">
        <is>
          <t>Simeon Woods Richardson</t>
        </is>
      </c>
      <c r="C638" s="9" t="inlineStr">
        <is>
          <t>TOR</t>
        </is>
      </c>
      <c r="D638" s="9" t="n">
        <v>26</v>
      </c>
      <c r="E638" s="17" t="inlineStr">
        <is>
          <t>R</t>
        </is>
      </c>
      <c r="F638" s="17" t="n"/>
      <c r="G638" s="9" t="n">
        <v>240</v>
      </c>
      <c r="H638" s="9" t="n">
        <v>1324</v>
      </c>
      <c r="I638" s="9" t="inlineStr">
        <is>
          <t>End-of-Rotation Starter (SP4-5)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</f>
        <v/>
      </c>
      <c r="AD638" s="15">
        <f>SUMPRODUCT(M638:X638,$M$6:$X$6)</f>
        <v/>
      </c>
      <c r="AE638" s="19" t="n"/>
    </row>
    <row r="639">
      <c r="A639" s="9" t="n">
        <v>691725</v>
      </c>
      <c r="B639" s="9" t="inlineStr">
        <is>
          <t>Andrew Painter</t>
        </is>
      </c>
      <c r="C639" s="9" t="inlineStr">
        <is>
          <t>PHI</t>
        </is>
      </c>
      <c r="D639" s="9" t="n">
        <v>24</v>
      </c>
      <c r="E639" s="17" t="inlineStr">
        <is>
          <t>R</t>
        </is>
      </c>
      <c r="F639" s="17" t="n"/>
      <c r="G639" s="9" t="n">
        <v>261</v>
      </c>
      <c r="H639" s="9" t="n">
        <v>261</v>
      </c>
      <c r="I639" s="9" t="inlineStr">
        <is>
          <t>End-of-Rotation Starter (SP4-5)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</f>
        <v/>
      </c>
      <c r="AD639" s="15">
        <f>SUMPRODUCT(M639:X639,$M$6:$X$6)</f>
        <v/>
      </c>
      <c r="AE639" s="19" t="n"/>
    </row>
    <row r="640">
      <c r="A640" s="9" t="n">
        <v>657044</v>
      </c>
      <c r="B640" s="9" t="inlineStr">
        <is>
          <t>Ryan Thompson</t>
        </is>
      </c>
      <c r="C640" s="9" t="inlineStr">
        <is>
          <t>ARI</t>
        </is>
      </c>
      <c r="D640" s="9" t="n">
        <v>35</v>
      </c>
      <c r="E640" s="17" t="inlineStr">
        <is>
          <t>R</t>
        </is>
      </c>
      <c r="F640" s="17" t="n"/>
      <c r="G640" s="9" t="n">
        <v>92</v>
      </c>
      <c r="H640" s="9" t="n">
        <v>841</v>
      </c>
      <c r="I640" s="9" t="inlineStr">
        <is>
          <t>Bullpen Depth Arm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</f>
        <v/>
      </c>
      <c r="AD640" s="15">
        <f>SUMPRODUCT(M640:X640,$M$6:$X$6)</f>
        <v/>
      </c>
      <c r="AE640" s="19" t="n"/>
    </row>
    <row r="641">
      <c r="A641" s="9" t="n">
        <v>663738</v>
      </c>
      <c r="B641" s="9" t="inlineStr">
        <is>
          <t>Daniel Lynch IV</t>
        </is>
      </c>
      <c r="C641" s="9" t="inlineStr">
        <is>
          <t>KC</t>
        </is>
      </c>
      <c r="D641" s="9" t="n">
        <v>30</v>
      </c>
      <c r="E641" s="17" t="inlineStr">
        <is>
          <t>L</t>
        </is>
      </c>
      <c r="F641" s="17" t="n"/>
      <c r="G641" s="9" t="n">
        <v>111</v>
      </c>
      <c r="H641" s="9" t="n">
        <v>1397</v>
      </c>
      <c r="I641" s="9" t="inlineStr">
        <is>
          <t>Bullpen Depth Arm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</f>
        <v/>
      </c>
      <c r="AD641" s="15">
        <f>SUMPRODUCT(M641:X641,$M$6:$X$6)</f>
        <v/>
      </c>
      <c r="AE641" s="19" t="n"/>
    </row>
    <row r="642">
      <c r="A642" s="9" t="n">
        <v>605182</v>
      </c>
      <c r="B642" s="9" t="inlineStr">
        <is>
          <t>Mike Clevinger</t>
        </is>
      </c>
      <c r="C642" s="9" t="inlineStr">
        <is>
          <t>CWS</t>
        </is>
      </c>
      <c r="D642" s="9" t="n">
        <v>36</v>
      </c>
      <c r="E642" s="17" t="inlineStr">
        <is>
          <t>R</t>
        </is>
      </c>
      <c r="F642" s="17" t="n"/>
      <c r="G642" s="9" t="n">
        <v>31</v>
      </c>
      <c r="H642" s="9" t="n">
        <v>1143</v>
      </c>
      <c r="I642" s="9" t="inlineStr">
        <is>
          <t>Bullpen Depth Arm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</f>
        <v/>
      </c>
      <c r="AD642" s="15">
        <f>SUMPRODUCT(M642:X642,$M$6:$X$6)</f>
        <v/>
      </c>
      <c r="AE642" s="19" t="n"/>
    </row>
    <row r="643">
      <c r="A643" s="9" t="n">
        <v>663372</v>
      </c>
      <c r="B643" s="9" t="inlineStr">
        <is>
          <t>Ryan Feltner</t>
        </is>
      </c>
      <c r="C643" s="9" t="inlineStr">
        <is>
          <t>COL</t>
        </is>
      </c>
      <c r="D643" s="9" t="n">
        <v>30</v>
      </c>
      <c r="E643" s="17" t="inlineStr">
        <is>
          <t>R</t>
        </is>
      </c>
      <c r="F643" s="17" t="n"/>
      <c r="G643" s="9" t="n">
        <v>130</v>
      </c>
      <c r="H643" s="9" t="n">
        <v>1586</v>
      </c>
      <c r="I643" s="9" t="inlineStr">
        <is>
          <t>Mid-Rotation Starter (SP2-3)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</f>
        <v/>
      </c>
      <c r="AD643" s="15">
        <f>SUMPRODUCT(M643:X643,$M$6:$X$6)</f>
        <v/>
      </c>
      <c r="AE643" s="19" t="n"/>
    </row>
    <row r="644">
      <c r="A644" s="9" t="n">
        <v>669461</v>
      </c>
      <c r="B644" s="9" t="inlineStr">
        <is>
          <t>Matthew Liberatore</t>
        </is>
      </c>
      <c r="C644" s="9" t="inlineStr">
        <is>
          <t>STL</t>
        </is>
      </c>
      <c r="D644" s="9" t="n">
        <v>27</v>
      </c>
      <c r="E644" s="17" t="inlineStr">
        <is>
          <t>L</t>
        </is>
      </c>
      <c r="F644" s="17" t="n"/>
      <c r="G644" s="9" t="n">
        <v>289</v>
      </c>
      <c r="H644" s="9" t="n">
        <v>1731</v>
      </c>
      <c r="I644" s="9" t="inlineStr">
        <is>
          <t>End-of-Rotation Starter (SP4-5)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</f>
        <v/>
      </c>
      <c r="AD644" s="15">
        <f>SUMPRODUCT(M644:X644,$M$6:$X$6)</f>
        <v/>
      </c>
      <c r="AE644" s="19" t="n"/>
    </row>
    <row r="645">
      <c r="A645" s="9" t="n">
        <v>682227</v>
      </c>
      <c r="B645" s="9" t="inlineStr">
        <is>
          <t>Brandon Williamson</t>
        </is>
      </c>
      <c r="C645" s="9" t="inlineStr">
        <is>
          <t>CIN</t>
        </is>
      </c>
      <c r="D645" s="9" t="n">
        <v>29</v>
      </c>
      <c r="E645" s="17" t="inlineStr">
        <is>
          <t>L</t>
        </is>
      </c>
      <c r="F645" s="17" t="n"/>
      <c r="G645" s="9" t="n">
        <v>128</v>
      </c>
      <c r="H645" s="9" t="n">
        <v>678</v>
      </c>
      <c r="I645" s="9" t="inlineStr">
        <is>
          <t>End-of-Rotation Starter (SP4-5)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</f>
        <v/>
      </c>
      <c r="AD645" s="15">
        <f>SUMPRODUCT(M645:X645,$M$6:$X$6)</f>
        <v/>
      </c>
      <c r="AE645" s="19" t="n"/>
    </row>
    <row r="646">
      <c r="A646" s="9" t="n">
        <v>672710</v>
      </c>
      <c r="B646" s="9" t="inlineStr">
        <is>
          <t>Roansy Contreras</t>
        </is>
      </c>
      <c r="C646" s="9" t="inlineStr">
        <is>
          <t>COL</t>
        </is>
      </c>
      <c r="D646" s="9" t="n">
        <v>27</v>
      </c>
      <c r="E646" s="17" t="inlineStr">
        <is>
          <t>R</t>
        </is>
      </c>
      <c r="F646" s="17" t="n"/>
      <c r="G646" s="9" t="n">
        <v>51</v>
      </c>
      <c r="H646" s="9" t="n">
        <v>1059</v>
      </c>
      <c r="I646" s="9" t="inlineStr">
        <is>
          <t>Bullpen Depth Arm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</f>
        <v/>
      </c>
      <c r="AD646" s="15">
        <f>SUMPRODUCT(M646:X646,$M$6:$X$6)</f>
        <v/>
      </c>
      <c r="AE646" s="19" t="n"/>
    </row>
    <row r="647">
      <c r="A647" s="9" t="n">
        <v>685314</v>
      </c>
      <c r="B647" s="9" t="inlineStr">
        <is>
          <t>Andrew Saalfrank</t>
        </is>
      </c>
      <c r="C647" s="9" t="inlineStr">
        <is>
          <t>ARI</t>
        </is>
      </c>
      <c r="D647" s="9" t="n">
        <v>29</v>
      </c>
      <c r="E647" s="17" t="inlineStr">
        <is>
          <t>L</t>
        </is>
      </c>
      <c r="F647" s="17" t="n"/>
      <c r="G647" s="9" t="n">
        <v>113</v>
      </c>
      <c r="H647" s="9" t="n">
        <v>162</v>
      </c>
      <c r="I647" s="9" t="inlineStr">
        <is>
          <t>Bullpen Depth Arm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</f>
        <v/>
      </c>
      <c r="AD647" s="15">
        <f>SUMPRODUCT(M647:X647,$M$6:$X$6)</f>
        <v/>
      </c>
      <c r="AE647" s="19" t="n"/>
    </row>
    <row r="648">
      <c r="A648" s="9" t="n">
        <v>666168</v>
      </c>
      <c r="B648" s="9" t="inlineStr">
        <is>
          <t>Mason Thompson</t>
        </is>
      </c>
      <c r="C648" s="9" t="inlineStr">
        <is>
          <t>WSH</t>
        </is>
      </c>
      <c r="D648" s="9" t="n">
        <v>29</v>
      </c>
      <c r="E648" s="17" t="inlineStr">
        <is>
          <t>R</t>
        </is>
      </c>
      <c r="F648" s="17" t="n"/>
      <c r="G648" s="9" t="n">
        <v>60</v>
      </c>
      <c r="H648" s="9" t="n">
        <v>401</v>
      </c>
      <c r="I648" s="9" t="inlineStr">
        <is>
          <t>Bullpen Depth Arm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</f>
        <v/>
      </c>
      <c r="AD648" s="15">
        <f>SUMPRODUCT(M648:X648,$M$6:$X$6)</f>
        <v/>
      </c>
      <c r="AE648" s="19" t="n"/>
    </row>
    <row r="649">
      <c r="A649" s="9" t="n">
        <v>608718</v>
      </c>
      <c r="B649" s="9" t="inlineStr">
        <is>
          <t>Brent Suter</t>
        </is>
      </c>
      <c r="C649" s="9" t="inlineStr">
        <is>
          <t>LAA</t>
        </is>
      </c>
      <c r="D649" s="9" t="n">
        <v>37</v>
      </c>
      <c r="E649" s="17" t="inlineStr">
        <is>
          <t>L</t>
        </is>
      </c>
      <c r="F649" s="17" t="n"/>
      <c r="G649" s="9" t="n">
        <v>156</v>
      </c>
      <c r="H649" s="9" t="n">
        <v>1281</v>
      </c>
      <c r="I649" s="9" t="inlineStr">
        <is>
          <t>Bullpen Depth Arm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</f>
        <v/>
      </c>
      <c r="AD649" s="15">
        <f>SUMPRODUCT(M649:X649,$M$6:$X$6)</f>
        <v/>
      </c>
      <c r="AE649" s="19" t="n"/>
    </row>
    <row r="650">
      <c r="A650" s="9" t="n">
        <v>593974</v>
      </c>
      <c r="B650" s="9" t="inlineStr">
        <is>
          <t>Wandy Peralta</t>
        </is>
      </c>
      <c r="C650" s="9" t="inlineStr">
        <is>
          <t>SD</t>
        </is>
      </c>
      <c r="D650" s="9" t="n">
        <v>35</v>
      </c>
      <c r="E650" s="17" t="inlineStr">
        <is>
          <t>L</t>
        </is>
      </c>
      <c r="F650" s="17" t="n"/>
      <c r="G650" s="9" t="n">
        <v>128</v>
      </c>
      <c r="H650" s="9" t="n">
        <v>1053</v>
      </c>
      <c r="I650" s="9" t="inlineStr">
        <is>
          <t>Bullpen Depth Arm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</f>
        <v/>
      </c>
      <c r="AD650" s="15">
        <f>SUMPRODUCT(M650:X650,$M$6:$X$6)</f>
        <v/>
      </c>
      <c r="AE650" s="19" t="n"/>
    </row>
    <row r="651">
      <c r="A651" s="9" t="n">
        <v>693821</v>
      </c>
      <c r="B651" s="9" t="inlineStr">
        <is>
          <t>Bryce Elder</t>
        </is>
      </c>
      <c r="C651" s="9" t="inlineStr">
        <is>
          <t>ATL</t>
        </is>
      </c>
      <c r="D651" s="9" t="n">
        <v>28</v>
      </c>
      <c r="E651" s="17" t="inlineStr">
        <is>
          <t>R</t>
        </is>
      </c>
      <c r="F651" s="17" t="n"/>
      <c r="G651" s="9" t="n">
        <v>342</v>
      </c>
      <c r="H651" s="9" t="n">
        <v>2206</v>
      </c>
      <c r="I651" s="9" t="inlineStr">
        <is>
          <t>Mid-Rotation Starter (SP2-3)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</f>
        <v/>
      </c>
      <c r="AD651" s="15">
        <f>SUMPRODUCT(M651:X651,$M$6:$X$6)</f>
        <v/>
      </c>
      <c r="AE651" s="19" t="n"/>
    </row>
    <row r="652">
      <c r="A652" s="9" t="n">
        <v>676568</v>
      </c>
      <c r="B652" s="9" t="inlineStr">
        <is>
          <t>Ricky Vanasco</t>
        </is>
      </c>
      <c r="C652" s="9" t="inlineStr">
        <is>
          <t>DET</t>
        </is>
      </c>
      <c r="D652" s="9" t="n">
        <v>28</v>
      </c>
      <c r="E652" s="17" t="inlineStr">
        <is>
          <t>R</t>
        </is>
      </c>
      <c r="F652" s="17" t="n"/>
      <c r="G652" s="9" t="n">
        <v>40</v>
      </c>
      <c r="H652" s="9" t="n">
        <v>55</v>
      </c>
      <c r="I652" s="9" t="inlineStr">
        <is>
          <t>Bullpen Depth Arm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</f>
        <v/>
      </c>
      <c r="AD652" s="15">
        <f>SUMPRODUCT(M652:X652,$M$6:$X$6)</f>
        <v/>
      </c>
      <c r="AE652" s="19" t="n"/>
    </row>
    <row r="653">
      <c r="A653" s="9" t="n">
        <v>471911</v>
      </c>
      <c r="B653" s="9" t="inlineStr">
        <is>
          <t>Carlos Carrasco</t>
        </is>
      </c>
      <c r="C653" s="9" t="inlineStr">
        <is>
          <t>ATL</t>
        </is>
      </c>
      <c r="D653" s="9" t="n">
        <v>40</v>
      </c>
      <c r="E653" s="17" t="inlineStr">
        <is>
          <t>R</t>
        </is>
      </c>
      <c r="F653" s="17" t="n"/>
      <c r="G653" s="9" t="n">
        <v>37</v>
      </c>
      <c r="H653" s="9" t="n">
        <v>1758</v>
      </c>
      <c r="I653" s="9" t="inlineStr">
        <is>
          <t>End-of-Rotation Starter (SP4-5)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</f>
        <v/>
      </c>
      <c r="AD653" s="15">
        <f>SUMPRODUCT(M653:X653,$M$6:$X$6)</f>
        <v/>
      </c>
      <c r="AE653" s="19" t="n"/>
    </row>
    <row r="654">
      <c r="A654" s="9" t="n">
        <v>675512</v>
      </c>
      <c r="B654" s="9" t="inlineStr">
        <is>
          <t>Troy Melton</t>
        </is>
      </c>
      <c r="C654" s="9" t="inlineStr">
        <is>
          <t>DET</t>
        </is>
      </c>
      <c r="D654" s="9" t="n">
        <v>26</v>
      </c>
      <c r="E654" s="17" t="inlineStr">
        <is>
          <t>R</t>
        </is>
      </c>
      <c r="F654" s="17" t="n"/>
      <c r="G654" s="9" t="n">
        <v>102</v>
      </c>
      <c r="H654" s="9" t="n">
        <v>282</v>
      </c>
      <c r="I654" s="9" t="inlineStr">
        <is>
          <t>End-of-Rotation Starter (SP4-5)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</f>
        <v/>
      </c>
      <c r="AD654" s="15">
        <f>SUMPRODUCT(M654:X654,$M$6:$X$6)</f>
        <v/>
      </c>
      <c r="AE654" s="19" t="n"/>
    </row>
    <row r="655">
      <c r="A655" s="9" t="n">
        <v>544150</v>
      </c>
      <c r="B655" s="9" t="inlineStr">
        <is>
          <t>Albert Suárez</t>
        </is>
      </c>
      <c r="C655" s="9" t="inlineStr">
        <is>
          <t>BAL</t>
        </is>
      </c>
      <c r="D655" s="9" t="n">
        <v>37</v>
      </c>
      <c r="E655" s="17" t="inlineStr">
        <is>
          <t>R</t>
        </is>
      </c>
      <c r="F655" s="17" t="n"/>
      <c r="G655" s="9" t="n">
        <v>116</v>
      </c>
      <c r="H655" s="9" t="n">
        <v>725</v>
      </c>
      <c r="I655" s="9" t="inlineStr">
        <is>
          <t>End-of-Rotation Starter (SP4-5)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</f>
        <v/>
      </c>
      <c r="AD655" s="15">
        <f>SUMPRODUCT(M655:X655,$M$6:$X$6)</f>
        <v/>
      </c>
      <c r="AE655" s="19" t="n"/>
    </row>
    <row r="656">
      <c r="A656" s="9" t="n">
        <v>676106</v>
      </c>
      <c r="B656" s="9" t="inlineStr">
        <is>
          <t>Emerson Hancock</t>
        </is>
      </c>
      <c r="C656" s="9" t="inlineStr">
        <is>
          <t>SEA</t>
        </is>
      </c>
      <c r="D656" s="9" t="n">
        <v>28</v>
      </c>
      <c r="E656" s="17" t="inlineStr">
        <is>
          <t>R</t>
        </is>
      </c>
      <c r="F656" s="17" t="n"/>
      <c r="G656" s="9" t="n">
        <v>292</v>
      </c>
      <c r="H656" s="9" t="n">
        <v>992</v>
      </c>
      <c r="I656" s="9" t="inlineStr">
        <is>
          <t>End-of-Rotation Starter (SP4-5)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</f>
        <v/>
      </c>
      <c r="AD656" s="15">
        <f>SUMPRODUCT(M656:X656,$M$6:$X$6)</f>
        <v/>
      </c>
      <c r="AE656" s="19" t="n"/>
    </row>
    <row r="657">
      <c r="A657" s="9" t="n">
        <v>607067</v>
      </c>
      <c r="B657" s="9" t="inlineStr">
        <is>
          <t>Colin Rea</t>
        </is>
      </c>
      <c r="C657" s="9" t="inlineStr">
        <is>
          <t>CHC</t>
        </is>
      </c>
      <c r="D657" s="9" t="n">
        <v>36</v>
      </c>
      <c r="E657" s="17" t="inlineStr">
        <is>
          <t>R</t>
        </is>
      </c>
      <c r="F657" s="17" t="n"/>
      <c r="G657" s="9" t="n">
        <v>304</v>
      </c>
      <c r="H657" s="9" t="n">
        <v>2197</v>
      </c>
      <c r="I657" s="9" t="inlineStr">
        <is>
          <t>Mid-Rotation Starter (SP2-3)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</f>
        <v/>
      </c>
      <c r="AD657" s="15">
        <f>SUMPRODUCT(M657:X657,$M$6:$X$6)</f>
        <v/>
      </c>
      <c r="AE657" s="19" t="n"/>
    </row>
    <row r="658">
      <c r="A658" s="9" t="n">
        <v>621199</v>
      </c>
      <c r="B658" s="9" t="inlineStr">
        <is>
          <t>Matt Bowman</t>
        </is>
      </c>
      <c r="C658" s="9" t="inlineStr">
        <is>
          <t>BAL</t>
        </is>
      </c>
      <c r="D658" s="9" t="n">
        <v>36</v>
      </c>
      <c r="E658" s="17" t="inlineStr">
        <is>
          <t>R</t>
        </is>
      </c>
      <c r="F658" s="17" t="n"/>
      <c r="G658" s="9" t="n">
        <v>114</v>
      </c>
      <c r="H658" s="9" t="n">
        <v>266</v>
      </c>
      <c r="I658" s="9" t="inlineStr">
        <is>
          <t>Bullpen Depth Arm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</f>
        <v/>
      </c>
      <c r="AD658" s="15">
        <f>SUMPRODUCT(M658:X658,$M$6:$X$6)</f>
        <v/>
      </c>
      <c r="AE658" s="19" t="n"/>
    </row>
    <row r="659">
      <c r="A659" s="9" t="n">
        <v>592866</v>
      </c>
      <c r="B659" s="9" t="inlineStr">
        <is>
          <t>Trevor Williams</t>
        </is>
      </c>
      <c r="C659" s="9" t="inlineStr">
        <is>
          <t>WSH</t>
        </is>
      </c>
      <c r="D659" s="9" t="n">
        <v>35</v>
      </c>
      <c r="E659" s="17" t="inlineStr">
        <is>
          <t>R</t>
        </is>
      </c>
      <c r="F659" s="17" t="n"/>
      <c r="G659" s="9" t="n">
        <v>373</v>
      </c>
      <c r="H659" s="9" t="n">
        <v>1664</v>
      </c>
      <c r="I659" s="9" t="inlineStr">
        <is>
          <t>End-of-Rotation Starter (SP4-5)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</f>
        <v/>
      </c>
      <c r="AD659" s="15">
        <f>SUMPRODUCT(M659:X659,$M$6:$X$6)</f>
        <v/>
      </c>
      <c r="AE659" s="19" t="n"/>
    </row>
    <row r="660">
      <c r="A660" s="9" t="n">
        <v>664353</v>
      </c>
      <c r="B660" s="9" t="inlineStr">
        <is>
          <t>José Urquidy</t>
        </is>
      </c>
      <c r="C660" s="9" t="inlineStr">
        <is>
          <t>PIT</t>
        </is>
      </c>
      <c r="D660" s="9" t="n">
        <v>32</v>
      </c>
      <c r="E660" s="17" t="inlineStr">
        <is>
          <t>R</t>
        </is>
      </c>
      <c r="F660" s="17" t="n"/>
      <c r="G660" s="9" t="n">
        <v>36</v>
      </c>
      <c r="H660" s="9" t="n">
        <v>1006</v>
      </c>
      <c r="I660" s="9" t="inlineStr">
        <is>
          <t>Bullpen Depth Arm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</f>
        <v/>
      </c>
      <c r="AD660" s="15">
        <f>SUMPRODUCT(M660:X660,$M$6:$X$6)</f>
        <v/>
      </c>
      <c r="AE660" s="19" t="n"/>
    </row>
    <row r="661">
      <c r="A661" s="9" t="n">
        <v>700669</v>
      </c>
      <c r="B661" s="9" t="inlineStr">
        <is>
          <t>Gordon Graceffo</t>
        </is>
      </c>
      <c r="C661" s="9" t="inlineStr">
        <is>
          <t>STL</t>
        </is>
      </c>
      <c r="D661" s="9" t="n">
        <v>27</v>
      </c>
      <c r="E661" s="17" t="inlineStr">
        <is>
          <t>R</t>
        </is>
      </c>
      <c r="F661" s="17" t="n"/>
      <c r="G661" s="9" t="n">
        <v>121</v>
      </c>
      <c r="H661" s="9" t="n">
        <v>345</v>
      </c>
      <c r="I661" s="9" t="inlineStr">
        <is>
          <t>Bullpen Depth Arm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</f>
        <v/>
      </c>
      <c r="AD661" s="15">
        <f>SUMPRODUCT(M661:X661,$M$6:$X$6)</f>
        <v/>
      </c>
      <c r="AE661" s="19" t="n"/>
    </row>
    <row r="662">
      <c r="A662" s="9" t="n">
        <v>663465</v>
      </c>
      <c r="B662" s="9" t="inlineStr">
        <is>
          <t>Kolby Allard</t>
        </is>
      </c>
      <c r="C662" s="9" t="inlineStr">
        <is>
          <t>CLE</t>
        </is>
      </c>
      <c r="D662" s="9" t="n">
        <v>29</v>
      </c>
      <c r="E662" s="17" t="inlineStr">
        <is>
          <t>L</t>
        </is>
      </c>
      <c r="F662" s="17" t="n"/>
      <c r="G662" s="9" t="n">
        <v>45</v>
      </c>
      <c r="H662" s="9" t="n">
        <v>571</v>
      </c>
      <c r="I662" s="9" t="inlineStr">
        <is>
          <t>Bullpen Depth Arm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</f>
        <v/>
      </c>
      <c r="AD662" s="15">
        <f>SUMPRODUCT(M662:X662,$M$6:$X$6)</f>
        <v/>
      </c>
      <c r="AE662" s="19" t="n"/>
    </row>
    <row r="663">
      <c r="A663" s="9" t="n">
        <v>669194</v>
      </c>
      <c r="B663" s="9" t="inlineStr">
        <is>
          <t>Ryne Nelson</t>
        </is>
      </c>
      <c r="C663" s="9" t="inlineStr">
        <is>
          <t>ARI</t>
        </is>
      </c>
      <c r="D663" s="9" t="n">
        <v>29</v>
      </c>
      <c r="E663" s="17" t="inlineStr">
        <is>
          <t>R</t>
        </is>
      </c>
      <c r="F663" s="17" t="n"/>
      <c r="G663" s="9" t="n">
        <v>304</v>
      </c>
      <c r="H663" s="9" t="n">
        <v>2241</v>
      </c>
      <c r="I663" s="9" t="inlineStr">
        <is>
          <t>Mid-Rotation Starter (SP2-3)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</f>
        <v/>
      </c>
      <c r="AD663" s="15">
        <f>SUMPRODUCT(M663:X663,$M$6:$X$6)</f>
        <v/>
      </c>
      <c r="AE663" s="19" t="n"/>
    </row>
    <row r="664">
      <c r="A664" s="9" t="n">
        <v>623437</v>
      </c>
      <c r="B664" s="9" t="inlineStr">
        <is>
          <t>Justin Topa</t>
        </is>
      </c>
      <c r="C664" s="9" t="inlineStr">
        <is>
          <t>MIN</t>
        </is>
      </c>
      <c r="D664" s="9" t="n">
        <v>36</v>
      </c>
      <c r="E664" s="17" t="inlineStr">
        <is>
          <t>R</t>
        </is>
      </c>
      <c r="F664" s="17" t="n"/>
      <c r="G664" s="9" t="n">
        <v>92</v>
      </c>
      <c r="H664" s="9" t="n">
        <v>682</v>
      </c>
      <c r="I664" s="9" t="inlineStr">
        <is>
          <t>Bullpen Depth Arm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</f>
        <v/>
      </c>
      <c r="AD664" s="15">
        <f>SUMPRODUCT(M664:X664,$M$6:$X$6)</f>
        <v/>
      </c>
      <c r="AE664" s="19" t="n"/>
    </row>
    <row r="665">
      <c r="A665" s="9" t="n">
        <v>594902</v>
      </c>
      <c r="B665" s="9" t="inlineStr">
        <is>
          <t>Ben Lively</t>
        </is>
      </c>
      <c r="C665" s="9" t="inlineStr">
        <is>
          <t>CLE</t>
        </is>
      </c>
      <c r="D665" s="9" t="n">
        <v>35</v>
      </c>
      <c r="E665" s="17" t="inlineStr">
        <is>
          <t>R</t>
        </is>
      </c>
      <c r="F665" s="17" t="n"/>
      <c r="G665" s="9" t="n">
        <v>178</v>
      </c>
      <c r="H665" s="9" t="n">
        <v>1193</v>
      </c>
      <c r="I665" s="9" t="inlineStr">
        <is>
          <t>Mid-Rotation Starter (SP2-3)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</f>
        <v/>
      </c>
      <c r="AD665" s="15">
        <f>SUMPRODUCT(M665:X665,$M$6:$X$6)</f>
        <v/>
      </c>
      <c r="AE665" s="19" t="n"/>
    </row>
    <row r="666">
      <c r="A666" s="9" t="n">
        <v>677865</v>
      </c>
      <c r="B666" s="9" t="inlineStr">
        <is>
          <t>Justin Bruihl</t>
        </is>
      </c>
      <c r="C666" s="9" t="inlineStr">
        <is>
          <t>STL</t>
        </is>
      </c>
      <c r="D666" s="9" t="n">
        <v>30</v>
      </c>
      <c r="E666" s="17" t="inlineStr">
        <is>
          <t>L</t>
        </is>
      </c>
      <c r="F666" s="17" t="n"/>
      <c r="G666" s="9" t="n">
        <v>132</v>
      </c>
      <c r="H666" s="9" t="n">
        <v>445</v>
      </c>
      <c r="I666" s="9" t="inlineStr">
        <is>
          <t>Bullpen Depth Arm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</f>
        <v/>
      </c>
      <c r="AD666" s="15">
        <f>SUMPRODUCT(M666:X666,$M$6:$X$6)</f>
        <v/>
      </c>
      <c r="AE666" s="19" t="n"/>
    </row>
    <row r="667">
      <c r="A667" s="9" t="n">
        <v>668933</v>
      </c>
      <c r="B667" s="9" t="inlineStr">
        <is>
          <t>Graham Ashcraft</t>
        </is>
      </c>
      <c r="C667" s="9" t="inlineStr">
        <is>
          <t>CIN</t>
        </is>
      </c>
      <c r="D667" s="9" t="n">
        <v>29</v>
      </c>
      <c r="E667" s="17" t="inlineStr">
        <is>
          <t>R</t>
        </is>
      </c>
      <c r="F667" s="17" t="n"/>
      <c r="G667" s="9" t="n">
        <v>109</v>
      </c>
      <c r="H667" s="9" t="n">
        <v>1831</v>
      </c>
      <c r="I667" s="9" t="inlineStr">
        <is>
          <t>Bullpen Depth Arm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</f>
        <v/>
      </c>
      <c r="AD667" s="15">
        <f>SUMPRODUCT(M667:X667,$M$6:$X$6)</f>
        <v/>
      </c>
      <c r="AE667" s="19" t="n"/>
    </row>
    <row r="668">
      <c r="A668" s="9" t="n">
        <v>678394</v>
      </c>
      <c r="B668" s="9" t="inlineStr">
        <is>
          <t>Brayan Bello</t>
        </is>
      </c>
      <c r="C668" s="9" t="inlineStr">
        <is>
          <t>BOS</t>
        </is>
      </c>
      <c r="D668" s="9" t="n">
        <v>28</v>
      </c>
      <c r="E668" s="17" t="inlineStr">
        <is>
          <t>R</t>
        </is>
      </c>
      <c r="F668" s="17" t="n"/>
      <c r="G668" s="9" t="n">
        <v>282</v>
      </c>
      <c r="H668" s="9" t="n">
        <v>2620</v>
      </c>
      <c r="I668" s="9" t="inlineStr">
        <is>
          <t>Mid-Rotation Starter (SP2-3)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</f>
        <v/>
      </c>
      <c r="AD668" s="15">
        <f>SUMPRODUCT(M668:X668,$M$6:$X$6)</f>
        <v/>
      </c>
      <c r="AE668" s="19" t="n"/>
    </row>
    <row r="669">
      <c r="A669" s="9" t="n">
        <v>641302</v>
      </c>
      <c r="B669" s="9" t="inlineStr">
        <is>
          <t>Tyler Alexander</t>
        </is>
      </c>
      <c r="C669" s="9" t="inlineStr">
        <is>
          <t>TEX</t>
        </is>
      </c>
      <c r="D669" s="9" t="n">
        <v>32</v>
      </c>
      <c r="E669" s="17" t="inlineStr">
        <is>
          <t>L</t>
        </is>
      </c>
      <c r="F669" s="17" t="n"/>
      <c r="G669" s="9" t="n">
        <v>117</v>
      </c>
      <c r="H669" s="9" t="n">
        <v>1603</v>
      </c>
      <c r="I669" s="9" t="inlineStr">
        <is>
          <t>Bullpen Depth Arm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</f>
        <v/>
      </c>
      <c r="AD669" s="15">
        <f>SUMPRODUCT(M669:X669,$M$6:$X$6)</f>
        <v/>
      </c>
      <c r="AE669" s="19" t="n"/>
    </row>
    <row r="670">
      <c r="A670" s="9" t="n">
        <v>702795</v>
      </c>
      <c r="B670" s="9" t="inlineStr">
        <is>
          <t>Ryan Loutos</t>
        </is>
      </c>
      <c r="C670" s="9" t="inlineStr">
        <is>
          <t>WSH</t>
        </is>
      </c>
      <c r="D670" s="9" t="n">
        <v>28</v>
      </c>
      <c r="E670" s="17" t="inlineStr">
        <is>
          <t>R</t>
        </is>
      </c>
      <c r="F670" s="17" t="n"/>
      <c r="G670" s="9" t="n">
        <v>68</v>
      </c>
      <c r="H670" s="9" t="n">
        <v>78</v>
      </c>
      <c r="I670" s="9" t="inlineStr">
        <is>
          <t>Bullpen Depth Arm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</f>
        <v/>
      </c>
      <c r="AD670" s="15">
        <f>SUMPRODUCT(M670:X670,$M$6:$X$6)</f>
        <v/>
      </c>
      <c r="AE670" s="19" t="n"/>
    </row>
    <row r="671">
      <c r="A671" s="9" t="n">
        <v>691951</v>
      </c>
      <c r="B671" s="9" t="inlineStr">
        <is>
          <t>Sam Aldegheri</t>
        </is>
      </c>
      <c r="C671" s="9" t="inlineStr">
        <is>
          <t>LAA</t>
        </is>
      </c>
      <c r="D671" s="9" t="n">
        <v>25</v>
      </c>
      <c r="E671" s="17" t="inlineStr">
        <is>
          <t>L</t>
        </is>
      </c>
      <c r="F671" s="17" t="n"/>
      <c r="G671" s="9" t="n">
        <v>51</v>
      </c>
      <c r="H671" s="9" t="n">
        <v>191</v>
      </c>
      <c r="I671" s="9" t="inlineStr">
        <is>
          <t>End-of-Rotation Starter (SP4-5)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</f>
        <v/>
      </c>
      <c r="AD671" s="15">
        <f>SUMPRODUCT(M671:X671,$M$6:$X$6)</f>
        <v/>
      </c>
      <c r="AE671" s="19" t="n"/>
    </row>
    <row r="672">
      <c r="A672" s="9" t="n">
        <v>687223</v>
      </c>
      <c r="B672" s="9" t="inlineStr">
        <is>
          <t>Carson Palmquist</t>
        </is>
      </c>
      <c r="C672" s="9" t="inlineStr">
        <is>
          <t>COL</t>
        </is>
      </c>
      <c r="D672" s="9" t="n">
        <v>26</v>
      </c>
      <c r="E672" s="17" t="inlineStr">
        <is>
          <t>L</t>
        </is>
      </c>
      <c r="F672" s="17" t="n"/>
      <c r="G672" s="9" t="n">
        <v>175</v>
      </c>
      <c r="H672" s="9" t="n">
        <v>175</v>
      </c>
      <c r="I672" s="9" t="inlineStr">
        <is>
          <t>End-of-Rotation Starter (SP4-5)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</f>
        <v/>
      </c>
      <c r="AD672" s="15">
        <f>SUMPRODUCT(M672:X672,$M$6:$X$6)</f>
        <v/>
      </c>
      <c r="AE672" s="19" t="n"/>
    </row>
    <row r="673">
      <c r="A673" s="9" t="n">
        <v>702352</v>
      </c>
      <c r="B673" s="9" t="inlineStr">
        <is>
          <t>Spencer Bivens</t>
        </is>
      </c>
      <c r="C673" s="9" t="inlineStr">
        <is>
          <t>SF</t>
        </is>
      </c>
      <c r="D673" s="9" t="n">
        <v>33</v>
      </c>
      <c r="E673" s="17" t="inlineStr">
        <is>
          <t>R</t>
        </is>
      </c>
      <c r="F673" s="17" t="n"/>
      <c r="G673" s="9" t="n">
        <v>343</v>
      </c>
      <c r="H673" s="9" t="n">
        <v>545</v>
      </c>
      <c r="I673" s="9" t="inlineStr">
        <is>
          <t>Bullpen Depth Arm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</f>
        <v/>
      </c>
      <c r="AD673" s="15">
        <f>SUMPRODUCT(M673:X673,$M$6:$X$6)</f>
        <v/>
      </c>
      <c r="AE673" s="19" t="n"/>
    </row>
    <row r="674">
      <c r="A674" s="9" t="n">
        <v>663623</v>
      </c>
      <c r="B674" s="9" t="inlineStr">
        <is>
          <t>Jake Irvin</t>
        </is>
      </c>
      <c r="C674" s="9" t="inlineStr">
        <is>
          <t>WSH</t>
        </is>
      </c>
      <c r="D674" s="9" t="n">
        <v>30</v>
      </c>
      <c r="E674" s="17" t="inlineStr">
        <is>
          <t>R</t>
        </is>
      </c>
      <c r="F674" s="17" t="n"/>
      <c r="G674" s="9" t="n">
        <v>228</v>
      </c>
      <c r="H674" s="9" t="n">
        <v>2314</v>
      </c>
      <c r="I674" s="9" t="inlineStr">
        <is>
          <t>Mid-Rotation Starter (SP2-3)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</f>
        <v/>
      </c>
      <c r="AD674" s="15">
        <f>SUMPRODUCT(M674:X674,$M$6:$X$6)</f>
        <v/>
      </c>
      <c r="AE674" s="19" t="n"/>
    </row>
    <row r="675">
      <c r="A675" s="9" t="n">
        <v>669422</v>
      </c>
      <c r="B675" s="9" t="inlineStr">
        <is>
          <t>Matt Sauer</t>
        </is>
      </c>
      <c r="C675" s="9" t="inlineStr">
        <is>
          <t>LAD</t>
        </is>
      </c>
      <c r="D675" s="9" t="n">
        <v>28</v>
      </c>
      <c r="E675" s="17" t="inlineStr">
        <is>
          <t>R</t>
        </is>
      </c>
      <c r="F675" s="17" t="n"/>
      <c r="G675" s="9" t="n">
        <v>129</v>
      </c>
      <c r="H675" s="9" t="n">
        <v>213</v>
      </c>
      <c r="I675" s="9" t="inlineStr">
        <is>
          <t>Bullpen Depth Arm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</f>
        <v/>
      </c>
      <c r="AD675" s="15">
        <f>SUMPRODUCT(M675:X675,$M$6:$X$6)</f>
        <v/>
      </c>
      <c r="AE675" s="19" t="n"/>
    </row>
    <row r="676">
      <c r="A676" s="9" t="n">
        <v>695076</v>
      </c>
      <c r="B676" s="9" t="inlineStr">
        <is>
          <t>Rhett Lowder</t>
        </is>
      </c>
      <c r="C676" s="9" t="inlineStr">
        <is>
          <t>CIN</t>
        </is>
      </c>
      <c r="D676" s="9" t="n">
        <v>25</v>
      </c>
      <c r="E676" s="17" t="inlineStr">
        <is>
          <t>R</t>
        </is>
      </c>
      <c r="F676" s="17" t="n"/>
      <c r="G676" s="9" t="n">
        <v>182</v>
      </c>
      <c r="H676" s="9" t="n">
        <v>310</v>
      </c>
      <c r="I676" s="9" t="inlineStr">
        <is>
          <t>End-of-Rotation Starter (SP4-5)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</f>
        <v/>
      </c>
      <c r="AD676" s="15">
        <f>SUMPRODUCT(M676:X676,$M$6:$X$6)</f>
        <v/>
      </c>
      <c r="AE676" s="19" t="n"/>
    </row>
    <row r="677">
      <c r="A677" s="9" t="n">
        <v>641672</v>
      </c>
      <c r="B677" s="9" t="inlineStr">
        <is>
          <t>Thomas Hatch</t>
        </is>
      </c>
      <c r="C677" s="9" t="inlineStr">
        <is>
          <t>MIN</t>
        </is>
      </c>
      <c r="D677" s="9" t="n">
        <v>32</v>
      </c>
      <c r="E677" s="17" t="inlineStr">
        <is>
          <t>R</t>
        </is>
      </c>
      <c r="F677" s="17" t="n"/>
      <c r="G677" s="9" t="n">
        <v>152</v>
      </c>
      <c r="H677" s="9" t="n">
        <v>307</v>
      </c>
      <c r="I677" s="9" t="inlineStr">
        <is>
          <t>Bullpen Depth Arm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</f>
        <v/>
      </c>
      <c r="AD677" s="15">
        <f>SUMPRODUCT(M677:X677,$M$6:$X$6)</f>
        <v/>
      </c>
      <c r="AE677" s="19" t="n"/>
    </row>
    <row r="678">
      <c r="A678" s="9" t="n">
        <v>670174</v>
      </c>
      <c r="B678" s="9" t="inlineStr">
        <is>
          <t>Josh Winckowski</t>
        </is>
      </c>
      <c r="C678" s="9" t="inlineStr">
        <is>
          <t>BOS</t>
        </is>
      </c>
      <c r="D678" s="9" t="n">
        <v>29</v>
      </c>
      <c r="E678" s="17" t="inlineStr">
        <is>
          <t>R</t>
        </is>
      </c>
      <c r="F678" s="17" t="n"/>
      <c r="G678" s="9" t="n">
        <v>52</v>
      </c>
      <c r="H678" s="9" t="n">
        <v>1071</v>
      </c>
      <c r="I678" s="9" t="inlineStr">
        <is>
          <t>Bullpen Depth Arm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</f>
        <v/>
      </c>
      <c r="AD678" s="15">
        <f>SUMPRODUCT(M678:X678,$M$6:$X$6)</f>
        <v/>
      </c>
      <c r="AE678" s="19" t="n"/>
    </row>
    <row r="679">
      <c r="A679" s="9" t="n">
        <v>641343</v>
      </c>
      <c r="B679" s="9" t="inlineStr">
        <is>
          <t>Jake Bauers</t>
        </is>
      </c>
      <c r="C679" s="9" t="inlineStr">
        <is>
          <t>MIL</t>
        </is>
      </c>
      <c r="D679" s="9" t="n">
        <v>31</v>
      </c>
      <c r="E679" s="17" t="inlineStr">
        <is>
          <t>L</t>
        </is>
      </c>
      <c r="F679" s="17" t="n"/>
      <c r="G679" s="9" t="n">
        <v>29</v>
      </c>
      <c r="H679" s="9" t="n">
        <v>49</v>
      </c>
      <c r="I679" s="9" t="inlineStr">
        <is>
          <t>Bullpen Depth Arm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</f>
        <v/>
      </c>
      <c r="AD679" s="15">
        <f>SUMPRODUCT(M679:X679,$M$6:$X$6)</f>
        <v/>
      </c>
      <c r="AE679" s="19" t="n"/>
    </row>
    <row r="680">
      <c r="A680" s="9" t="n">
        <v>669020</v>
      </c>
      <c r="B680" s="9" t="inlineStr">
        <is>
          <t>Ryan Rolison</t>
        </is>
      </c>
      <c r="C680" s="9" t="inlineStr">
        <is>
          <t>CHC</t>
        </is>
      </c>
      <c r="D680" s="9" t="n">
        <v>29</v>
      </c>
      <c r="E680" s="17" t="inlineStr">
        <is>
          <t>L</t>
        </is>
      </c>
      <c r="F680" s="17" t="n"/>
      <c r="G680" s="9" t="n">
        <v>92</v>
      </c>
      <c r="H680" s="9" t="n">
        <v>285</v>
      </c>
      <c r="I680" s="9" t="inlineStr">
        <is>
          <t>Bullpen Depth Arm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</f>
        <v/>
      </c>
      <c r="AD680" s="15">
        <f>SUMPRODUCT(M680:X680,$M$6:$X$6)</f>
        <v/>
      </c>
      <c r="AE680" s="19" t="n"/>
    </row>
    <row r="681">
      <c r="A681" s="9" t="n">
        <v>687064</v>
      </c>
      <c r="B681" s="9" t="inlineStr">
        <is>
          <t>Brandon Young</t>
        </is>
      </c>
      <c r="C681" s="9" t="inlineStr">
        <is>
          <t>BAL</t>
        </is>
      </c>
      <c r="D681" s="9" t="n">
        <v>28</v>
      </c>
      <c r="E681" s="17" t="inlineStr">
        <is>
          <t>R</t>
        </is>
      </c>
      <c r="F681" s="17" t="n"/>
      <c r="G681" s="9" t="n">
        <v>214</v>
      </c>
      <c r="H681" s="9" t="n">
        <v>470</v>
      </c>
      <c r="I681" s="9" t="inlineStr">
        <is>
          <t>Mid-Rotation Starter (SP2-3)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</f>
        <v/>
      </c>
      <c r="AD681" s="15">
        <f>SUMPRODUCT(M681:X681,$M$6:$X$6)</f>
        <v/>
      </c>
      <c r="AE681" s="19" t="n"/>
    </row>
    <row r="682">
      <c r="A682" s="9" t="n">
        <v>663773</v>
      </c>
      <c r="B682" s="9" t="inlineStr">
        <is>
          <t>Bryan Hoeing</t>
        </is>
      </c>
      <c r="C682" s="9" t="inlineStr">
        <is>
          <t>SD</t>
        </is>
      </c>
      <c r="D682" s="9" t="n">
        <v>30</v>
      </c>
      <c r="E682" s="17" t="inlineStr">
        <is>
          <t>R</t>
        </is>
      </c>
      <c r="F682" s="17" t="n"/>
      <c r="G682" s="9" t="n">
        <v>36</v>
      </c>
      <c r="H682" s="9" t="n">
        <v>611</v>
      </c>
      <c r="I682" s="9" t="inlineStr">
        <is>
          <t>Bullpen Depth Arm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</f>
        <v/>
      </c>
      <c r="AD682" s="15">
        <f>SUMPRODUCT(M682:X682,$M$6:$X$6)</f>
        <v/>
      </c>
      <c r="AE682" s="19" t="n"/>
    </row>
    <row r="683">
      <c r="A683" s="9" t="n">
        <v>606930</v>
      </c>
      <c r="B683" s="9" t="inlineStr">
        <is>
          <t>Jacob Barnes</t>
        </is>
      </c>
      <c r="C683" s="9" t="inlineStr">
        <is>
          <t>TOR</t>
        </is>
      </c>
      <c r="D683" s="9" t="n">
        <v>37</v>
      </c>
      <c r="E683" s="17" t="inlineStr">
        <is>
          <t>R</t>
        </is>
      </c>
      <c r="F683" s="17" t="n"/>
      <c r="G683" s="9" t="n">
        <v>36</v>
      </c>
      <c r="H683" s="9" t="n">
        <v>471</v>
      </c>
      <c r="I683" s="9" t="inlineStr">
        <is>
          <t>Bullpen Depth Arm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</f>
        <v/>
      </c>
      <c r="AD683" s="15">
        <f>SUMPRODUCT(M683:X683,$M$6:$X$6)</f>
        <v/>
      </c>
      <c r="AE683" s="19" t="n"/>
    </row>
    <row r="684">
      <c r="A684" s="9" t="n">
        <v>681151</v>
      </c>
      <c r="B684" s="9" t="inlineStr">
        <is>
          <t>Jayden Murray</t>
        </is>
      </c>
      <c r="C684" s="9" t="inlineStr">
        <is>
          <t>HOU</t>
        </is>
      </c>
      <c r="D684" s="9" t="n">
        <v>30</v>
      </c>
      <c r="E684" s="17" t="inlineStr">
        <is>
          <t>R</t>
        </is>
      </c>
      <c r="F684" s="17" t="n"/>
      <c r="G684" s="9" t="n">
        <v>53</v>
      </c>
      <c r="H684" s="9" t="n">
        <v>100</v>
      </c>
      <c r="I684" s="9" t="inlineStr">
        <is>
          <t>Bullpen Depth Arm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</f>
        <v/>
      </c>
      <c r="AD684" s="15">
        <f>SUMPRODUCT(M684:X684,$M$6:$X$6)</f>
        <v/>
      </c>
      <c r="AE684" s="19" t="n"/>
    </row>
    <row r="685">
      <c r="A685" s="9" t="n">
        <v>665871</v>
      </c>
      <c r="B685" s="9" t="inlineStr">
        <is>
          <t>Javier Assad</t>
        </is>
      </c>
      <c r="C685" s="9" t="inlineStr">
        <is>
          <t>CHC</t>
        </is>
      </c>
      <c r="D685" s="9" t="n">
        <v>29</v>
      </c>
      <c r="E685" s="17" t="inlineStr">
        <is>
          <t>R</t>
        </is>
      </c>
      <c r="F685" s="17" t="n"/>
      <c r="G685" s="9" t="n">
        <v>129</v>
      </c>
      <c r="H685" s="9" t="n">
        <v>1535</v>
      </c>
      <c r="I685" s="9" t="inlineStr">
        <is>
          <t>End-of-Rotation Starter (SP4-5)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</f>
        <v/>
      </c>
      <c r="AD685" s="15">
        <f>SUMPRODUCT(M685:X685,$M$6:$X$6)</f>
        <v/>
      </c>
      <c r="AE685" s="19" t="n"/>
    </row>
    <row r="686">
      <c r="A686" s="9" t="n">
        <v>670810</v>
      </c>
      <c r="B686" s="9" t="inlineStr">
        <is>
          <t>Logan Gillaspie</t>
        </is>
      </c>
      <c r="C686" s="9" t="inlineStr">
        <is>
          <t>SD</t>
        </is>
      </c>
      <c r="D686" s="9" t="n">
        <v>30</v>
      </c>
      <c r="E686" s="17" t="inlineStr">
        <is>
          <t>R</t>
        </is>
      </c>
      <c r="F686" s="17" t="n"/>
      <c r="G686" s="9" t="n">
        <v>31</v>
      </c>
      <c r="H686" s="9" t="n">
        <v>200</v>
      </c>
      <c r="I686" s="9" t="inlineStr">
        <is>
          <t>Bullpen Depth Arm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</f>
        <v/>
      </c>
      <c r="AD686" s="15">
        <f>SUMPRODUCT(M686:X686,$M$6:$X$6)</f>
        <v/>
      </c>
      <c r="AE686" s="19" t="n"/>
    </row>
    <row r="687">
      <c r="A687" s="9" t="n">
        <v>701552</v>
      </c>
      <c r="B687" s="9" t="inlineStr">
        <is>
          <t>Andre Granillo</t>
        </is>
      </c>
      <c r="C687" s="9" t="inlineStr">
        <is>
          <t>WSH</t>
        </is>
      </c>
      <c r="D687" s="9" t="n">
        <v>27</v>
      </c>
      <c r="E687" s="17" t="inlineStr">
        <is>
          <t>R</t>
        </is>
      </c>
      <c r="F687" s="17" t="n"/>
      <c r="G687" s="9" t="n">
        <v>50</v>
      </c>
      <c r="H687" s="9" t="n">
        <v>141</v>
      </c>
      <c r="I687" s="9" t="inlineStr">
        <is>
          <t>Bullpen Depth Arm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</f>
        <v/>
      </c>
      <c r="AD687" s="15">
        <f>SUMPRODUCT(M687:X687,$M$6:$X$6)</f>
        <v/>
      </c>
      <c r="AE687" s="19" t="n"/>
    </row>
    <row r="688">
      <c r="A688" s="9" t="n">
        <v>669947</v>
      </c>
      <c r="B688" s="9" t="inlineStr">
        <is>
          <t>Jesse Scholtens</t>
        </is>
      </c>
      <c r="C688" s="9" t="inlineStr">
        <is>
          <t>TB</t>
        </is>
      </c>
      <c r="D688" s="9" t="n">
        <v>33</v>
      </c>
      <c r="E688" s="17" t="inlineStr">
        <is>
          <t>R</t>
        </is>
      </c>
      <c r="F688" s="17" t="n"/>
      <c r="G688" s="9" t="n">
        <v>164</v>
      </c>
      <c r="H688" s="9" t="n">
        <v>579</v>
      </c>
      <c r="I688" s="9" t="inlineStr">
        <is>
          <t>End-of-Rotation Starter (SP4-5)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</f>
        <v/>
      </c>
      <c r="AD688" s="15">
        <f>SUMPRODUCT(M688:X688,$M$6:$X$6)</f>
        <v/>
      </c>
      <c r="AE688" s="19" t="n"/>
    </row>
    <row r="689">
      <c r="A689" s="9" t="n">
        <v>547179</v>
      </c>
      <c r="B689" s="9" t="inlineStr">
        <is>
          <t>Michael Lorenzen</t>
        </is>
      </c>
      <c r="C689" s="9" t="inlineStr">
        <is>
          <t>COL</t>
        </is>
      </c>
      <c r="D689" s="9" t="n">
        <v>35</v>
      </c>
      <c r="E689" s="17" t="inlineStr">
        <is>
          <t>R</t>
        </is>
      </c>
      <c r="F689" s="17" t="n"/>
      <c r="G689" s="9" t="n">
        <v>301</v>
      </c>
      <c r="H689" s="9" t="n">
        <v>2478</v>
      </c>
      <c r="I689" s="9" t="inlineStr">
        <is>
          <t>End-of-Rotation Starter (SP4-5)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</f>
        <v/>
      </c>
      <c r="AD689" s="15">
        <f>SUMPRODUCT(M689:X689,$M$6:$X$6)</f>
        <v/>
      </c>
      <c r="AE689" s="19" t="n"/>
    </row>
    <row r="690">
      <c r="A690" s="9" t="n">
        <v>682990</v>
      </c>
      <c r="B690" s="9" t="inlineStr">
        <is>
          <t>Quinn Priester</t>
        </is>
      </c>
      <c r="C690" s="9" t="inlineStr">
        <is>
          <t>MIL</t>
        </is>
      </c>
      <c r="D690" s="9" t="n">
        <v>26</v>
      </c>
      <c r="E690" s="17" t="inlineStr">
        <is>
          <t>R</t>
        </is>
      </c>
      <c r="F690" s="17" t="n"/>
      <c r="G690" s="9" t="n">
        <v>653</v>
      </c>
      <c r="H690" s="9" t="n">
        <v>1108</v>
      </c>
      <c r="I690" s="9" t="inlineStr">
        <is>
          <t>Mid-Rotation Starter (SP2-3)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</f>
        <v/>
      </c>
      <c r="AD690" s="15">
        <f>SUMPRODUCT(M690:X690,$M$6:$X$6)</f>
        <v/>
      </c>
      <c r="AE690" s="19" t="n"/>
    </row>
    <row r="691">
      <c r="A691" s="9" t="n">
        <v>672841</v>
      </c>
      <c r="B691" s="9" t="inlineStr">
        <is>
          <t>Carlos Vargas</t>
        </is>
      </c>
      <c r="C691" s="9" t="inlineStr">
        <is>
          <t>SEA</t>
        </is>
      </c>
      <c r="D691" s="9" t="n">
        <v>27</v>
      </c>
      <c r="E691" s="17" t="inlineStr">
        <is>
          <t>R</t>
        </is>
      </c>
      <c r="F691" s="17" t="n"/>
      <c r="G691" s="9" t="n">
        <v>331</v>
      </c>
      <c r="H691" s="9" t="n">
        <v>353</v>
      </c>
      <c r="I691" s="9" t="inlineStr">
        <is>
          <t>Bullpen Depth Arm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</f>
        <v/>
      </c>
      <c r="AD691" s="15">
        <f>SUMPRODUCT(M691:X691,$M$6:$X$6)</f>
        <v/>
      </c>
      <c r="AE691" s="19" t="n"/>
    </row>
    <row r="692">
      <c r="A692" s="9" t="n">
        <v>663941</v>
      </c>
      <c r="B692" s="9" t="inlineStr">
        <is>
          <t>Tristan Beck</t>
        </is>
      </c>
      <c r="C692" s="9" t="inlineStr">
        <is>
          <t>SF</t>
        </is>
      </c>
      <c r="D692" s="9" t="n">
        <v>31</v>
      </c>
      <c r="E692" s="17" t="inlineStr">
        <is>
          <t>R</t>
        </is>
      </c>
      <c r="F692" s="17" t="n"/>
      <c r="G692" s="9" t="n">
        <v>39</v>
      </c>
      <c r="H692" s="9" t="n">
        <v>692</v>
      </c>
      <c r="I692" s="9" t="inlineStr">
        <is>
          <t>Bullpen Depth Arm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</f>
        <v/>
      </c>
      <c r="AD692" s="15">
        <f>SUMPRODUCT(M692:X692,$M$6:$X$6)</f>
        <v/>
      </c>
      <c r="AE692" s="19" t="n"/>
    </row>
    <row r="693">
      <c r="A693" s="9" t="n">
        <v>695684</v>
      </c>
      <c r="B693" s="9" t="inlineStr">
        <is>
          <t>Elmer Rodríguez</t>
        </is>
      </c>
      <c r="C693" s="9" t="inlineStr">
        <is>
          <t>NYY</t>
        </is>
      </c>
      <c r="D693" s="9" t="n">
        <v>23</v>
      </c>
      <c r="E693" s="17" t="inlineStr">
        <is>
          <t>R</t>
        </is>
      </c>
      <c r="F693" s="17" t="n"/>
      <c r="G693" s="9" t="n">
        <v>64</v>
      </c>
      <c r="H693" s="9" t="n">
        <v>64</v>
      </c>
      <c r="I693" s="9" t="inlineStr">
        <is>
          <t>End-of-Rotation Starter (SP4-5)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</f>
        <v/>
      </c>
      <c r="AD693" s="15">
        <f>SUMPRODUCT(M693:X693,$M$6:$X$6)</f>
        <v/>
      </c>
      <c r="AE693" s="19" t="n"/>
    </row>
    <row r="694">
      <c r="A694" s="9" t="n">
        <v>689441</v>
      </c>
      <c r="B694" s="9" t="inlineStr">
        <is>
          <t>Coleman Crow</t>
        </is>
      </c>
      <c r="C694" s="9" t="inlineStr">
        <is>
          <t>MIL</t>
        </is>
      </c>
      <c r="D694" s="9" t="n">
        <v>26</v>
      </c>
      <c r="E694" s="17" t="inlineStr">
        <is>
          <t>R</t>
        </is>
      </c>
      <c r="F694" s="17" t="n"/>
      <c r="G694" s="9" t="n">
        <v>85</v>
      </c>
      <c r="H694" s="9" t="n">
        <v>85</v>
      </c>
      <c r="I694" s="9" t="inlineStr">
        <is>
          <t>End-of-Rotation Starter (SP4-5)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</f>
        <v/>
      </c>
      <c r="AD694" s="15">
        <f>SUMPRODUCT(M694:X694,$M$6:$X$6)</f>
        <v/>
      </c>
      <c r="AE694" s="19" t="n"/>
    </row>
    <row r="695">
      <c r="A695" s="9" t="n">
        <v>573186</v>
      </c>
      <c r="B695" s="9" t="inlineStr">
        <is>
          <t>Marcus Stroman</t>
        </is>
      </c>
      <c r="C695" s="9" t="inlineStr">
        <is>
          <t>NYY</t>
        </is>
      </c>
      <c r="D695" s="9" t="n">
        <v>36</v>
      </c>
      <c r="E695" s="17" t="inlineStr">
        <is>
          <t>R</t>
        </is>
      </c>
      <c r="F695" s="17" t="n"/>
      <c r="G695" s="9" t="n">
        <v>175</v>
      </c>
      <c r="H695" s="9" t="n">
        <v>1994</v>
      </c>
      <c r="I695" s="9" t="inlineStr">
        <is>
          <t>End-of-Rotation Starter (SP4-5)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</f>
        <v/>
      </c>
      <c r="AD695" s="15">
        <f>SUMPRODUCT(M695:X695,$M$6:$X$6)</f>
        <v/>
      </c>
      <c r="AE695" s="19" t="n"/>
    </row>
    <row r="696">
      <c r="A696" s="9" t="n">
        <v>676661</v>
      </c>
      <c r="B696" s="9" t="inlineStr">
        <is>
          <t>Max Lazar</t>
        </is>
      </c>
      <c r="C696" s="9" t="inlineStr">
        <is>
          <t>PHI</t>
        </is>
      </c>
      <c r="D696" s="9" t="n">
        <v>28</v>
      </c>
      <c r="E696" s="17" t="inlineStr">
        <is>
          <t>R</t>
        </is>
      </c>
      <c r="F696" s="17" t="n"/>
      <c r="G696" s="9" t="n">
        <v>170</v>
      </c>
      <c r="H696" s="9" t="n">
        <v>224</v>
      </c>
      <c r="I696" s="9" t="inlineStr">
        <is>
          <t>Bullpen Depth Arm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</f>
        <v/>
      </c>
      <c r="AD696" s="15">
        <f>SUMPRODUCT(M696:X696,$M$6:$X$6)</f>
        <v/>
      </c>
      <c r="AE696" s="19" t="n"/>
    </row>
    <row r="697">
      <c r="A697" s="9" t="n">
        <v>527048</v>
      </c>
      <c r="B697" s="9" t="inlineStr">
        <is>
          <t>Martín Pérez</t>
        </is>
      </c>
      <c r="C697" s="9" t="inlineStr">
        <is>
          <t>ATL</t>
        </is>
      </c>
      <c r="D697" s="9" t="n">
        <v>36</v>
      </c>
      <c r="E697" s="17" t="inlineStr">
        <is>
          <t>L</t>
        </is>
      </c>
      <c r="F697" s="17" t="n"/>
      <c r="G697" s="9" t="n">
        <v>225</v>
      </c>
      <c r="H697" s="9" t="n">
        <v>2472</v>
      </c>
      <c r="I697" s="9" t="inlineStr">
        <is>
          <t>End-of-Rotation Starter (SP4-5)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</f>
        <v/>
      </c>
      <c r="AD697" s="15">
        <f>SUMPRODUCT(M697:X697,$M$6:$X$6)</f>
        <v/>
      </c>
      <c r="AE697" s="19" t="n"/>
    </row>
    <row r="698">
      <c r="A698" s="9" t="n">
        <v>607259</v>
      </c>
      <c r="B698" s="9" t="inlineStr">
        <is>
          <t>Nick Martinez</t>
        </is>
      </c>
      <c r="C698" s="9" t="inlineStr">
        <is>
          <t>TB</t>
        </is>
      </c>
      <c r="D698" s="9" t="n">
        <v>36</v>
      </c>
      <c r="E698" s="17" t="inlineStr">
        <is>
          <t>R</t>
        </is>
      </c>
      <c r="F698" s="17" t="n"/>
      <c r="G698" s="9" t="n">
        <v>318</v>
      </c>
      <c r="H698" s="9" t="n">
        <v>2480</v>
      </c>
      <c r="I698" s="9" t="inlineStr">
        <is>
          <t>End-of-Rotation Starter (SP4-5)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</f>
        <v/>
      </c>
      <c r="AD698" s="15">
        <f>SUMPRODUCT(M698:X698,$M$6:$X$6)</f>
        <v/>
      </c>
      <c r="AE698" s="19" t="n"/>
    </row>
    <row r="699">
      <c r="A699" s="9" t="n">
        <v>669270</v>
      </c>
      <c r="B699" s="9" t="inlineStr">
        <is>
          <t>Joel Kuhnel</t>
        </is>
      </c>
      <c r="C699" s="9" t="inlineStr">
        <is>
          <t>MIL</t>
        </is>
      </c>
      <c r="D699" s="9" t="n">
        <v>32</v>
      </c>
      <c r="E699" s="17" t="inlineStr">
        <is>
          <t>R</t>
        </is>
      </c>
      <c r="F699" s="17" t="n"/>
      <c r="G699" s="9" t="n">
        <v>119</v>
      </c>
      <c r="H699" s="9" t="n">
        <v>471</v>
      </c>
      <c r="I699" s="9" t="inlineStr">
        <is>
          <t>Bullpen Depth Arm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</f>
        <v/>
      </c>
      <c r="AD699" s="15">
        <f>SUMPRODUCT(M699:X699,$M$6:$X$6)</f>
        <v/>
      </c>
      <c r="AE699" s="19" t="n"/>
    </row>
    <row r="700">
      <c r="A700" s="9" t="n">
        <v>688138</v>
      </c>
      <c r="B700" s="9" t="inlineStr">
        <is>
          <t>Logan Evans</t>
        </is>
      </c>
      <c r="C700" s="9" t="inlineStr">
        <is>
          <t>SEA</t>
        </is>
      </c>
      <c r="D700" s="9" t="n">
        <v>26</v>
      </c>
      <c r="E700" s="17" t="inlineStr">
        <is>
          <t>R</t>
        </is>
      </c>
      <c r="F700" s="17" t="n"/>
      <c r="G700" s="9" t="n">
        <v>350</v>
      </c>
      <c r="H700" s="9" t="n">
        <v>350</v>
      </c>
      <c r="I700" s="9" t="inlineStr">
        <is>
          <t>Mid-Rotation Starter (SP2-3)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</f>
        <v/>
      </c>
      <c r="AD700" s="15">
        <f>SUMPRODUCT(M700:X700,$M$6:$X$6)</f>
        <v/>
      </c>
      <c r="AE700" s="19" t="n"/>
    </row>
    <row r="701">
      <c r="A701" s="9" t="n">
        <v>641585</v>
      </c>
      <c r="B701" s="9" t="inlineStr">
        <is>
          <t>J.P. France</t>
        </is>
      </c>
      <c r="C701" s="9" t="inlineStr">
        <is>
          <t>HOU</t>
        </is>
      </c>
      <c r="D701" s="9" t="n">
        <v>32</v>
      </c>
      <c r="E701" s="17" t="inlineStr">
        <is>
          <t>R</t>
        </is>
      </c>
      <c r="F701" s="17" t="n"/>
      <c r="G701" s="9" t="n">
        <v>31</v>
      </c>
      <c r="H701" s="9" t="n">
        <v>749</v>
      </c>
      <c r="I701" s="9" t="inlineStr">
        <is>
          <t>End-of-Rotation Starter (SP4-5)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</f>
        <v/>
      </c>
      <c r="AD701" s="15">
        <f>SUMPRODUCT(M701:X701,$M$6:$X$6)</f>
        <v/>
      </c>
      <c r="AE701" s="19" t="n"/>
    </row>
    <row r="702">
      <c r="A702" s="9" t="n">
        <v>641312</v>
      </c>
      <c r="B702" s="9" t="inlineStr">
        <is>
          <t>Shaun Anderson</t>
        </is>
      </c>
      <c r="C702" s="9" t="inlineStr">
        <is>
          <t>LAA</t>
        </is>
      </c>
      <c r="D702" s="9" t="n">
        <v>32</v>
      </c>
      <c r="E702" s="17" t="inlineStr">
        <is>
          <t>R</t>
        </is>
      </c>
      <c r="F702" s="17" t="n"/>
      <c r="G702" s="9" t="n">
        <v>73</v>
      </c>
      <c r="H702" s="9" t="n">
        <v>221</v>
      </c>
      <c r="I702" s="9" t="inlineStr">
        <is>
          <t>Bullpen Depth Arm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</f>
        <v/>
      </c>
      <c r="AD702" s="15">
        <f>SUMPRODUCT(M702:X702,$M$6:$X$6)</f>
        <v/>
      </c>
      <c r="AE702" s="19" t="n"/>
    </row>
    <row r="703">
      <c r="A703" s="9" t="n">
        <v>657756</v>
      </c>
      <c r="B703" s="9" t="inlineStr">
        <is>
          <t>Connor Seabold</t>
        </is>
      </c>
      <c r="C703" s="9" t="inlineStr">
        <is>
          <t>TOR</t>
        </is>
      </c>
      <c r="D703" s="9" t="n">
        <v>31</v>
      </c>
      <c r="E703" s="17" t="inlineStr">
        <is>
          <t>R</t>
        </is>
      </c>
      <c r="F703" s="17" t="n"/>
      <c r="G703" s="9" t="n">
        <v>87</v>
      </c>
      <c r="H703" s="9" t="n">
        <v>641</v>
      </c>
      <c r="I703" s="9" t="inlineStr">
        <is>
          <t>Bullpen Depth Arm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</f>
        <v/>
      </c>
      <c r="AD703" s="15">
        <f>SUMPRODUCT(M703:X703,$M$6:$X$6)</f>
        <v/>
      </c>
      <c r="AE703" s="19" t="n"/>
    </row>
    <row r="704">
      <c r="A704" s="9" t="n">
        <v>542881</v>
      </c>
      <c r="B704" s="9" t="inlineStr">
        <is>
          <t>Tyler Anderson</t>
        </is>
      </c>
      <c r="C704" s="9" t="inlineStr">
        <is>
          <t>LAA</t>
        </is>
      </c>
      <c r="D704" s="9" t="n">
        <v>37</v>
      </c>
      <c r="E704" s="17" t="inlineStr">
        <is>
          <t>L</t>
        </is>
      </c>
      <c r="F704" s="17" t="n"/>
      <c r="G704" s="9" t="n">
        <v>599</v>
      </c>
      <c r="H704" s="9" t="n">
        <v>2700</v>
      </c>
      <c r="I704" s="9" t="inlineStr">
        <is>
          <t>Mid-Rotation Starter (SP2-3)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</f>
        <v/>
      </c>
      <c r="AD704" s="15">
        <f>SUMPRODUCT(M704:X704,$M$6:$X$6)</f>
        <v/>
      </c>
      <c r="AE704" s="19" t="n"/>
    </row>
    <row r="705">
      <c r="A705" s="9" t="n">
        <v>674072</v>
      </c>
      <c r="B705" s="9" t="inlineStr">
        <is>
          <t>Tommy Henry</t>
        </is>
      </c>
      <c r="C705" s="9" t="inlineStr">
        <is>
          <t>ARI</t>
        </is>
      </c>
      <c r="D705" s="9" t="n">
        <v>29</v>
      </c>
      <c r="E705" s="17" t="inlineStr">
        <is>
          <t>L</t>
        </is>
      </c>
      <c r="F705" s="17" t="n"/>
      <c r="G705" s="9" t="n">
        <v>26</v>
      </c>
      <c r="H705" s="9" t="n">
        <v>794</v>
      </c>
      <c r="I705" s="9" t="inlineStr">
        <is>
          <t>End-of-Rotation Starter (SP4-5)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</f>
        <v/>
      </c>
      <c r="AD705" s="15">
        <f>SUMPRODUCT(M705:X705,$M$6:$X$6)</f>
        <v/>
      </c>
      <c r="AE705" s="19" t="n"/>
    </row>
    <row r="706">
      <c r="A706" s="9" t="n">
        <v>621111</v>
      </c>
      <c r="B706" s="9" t="inlineStr">
        <is>
          <t>Walker Buehler</t>
        </is>
      </c>
      <c r="C706" s="9" t="inlineStr">
        <is>
          <t>SD</t>
        </is>
      </c>
      <c r="D706" s="9" t="n">
        <v>32</v>
      </c>
      <c r="E706" s="17" t="inlineStr">
        <is>
          <t>R</t>
        </is>
      </c>
      <c r="F706" s="17" t="n"/>
      <c r="G706" s="9" t="n">
        <v>266</v>
      </c>
      <c r="H706" s="9" t="n">
        <v>1449</v>
      </c>
      <c r="I706" s="9" t="inlineStr">
        <is>
          <t>End-of-Rotation Starter (SP4-5)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</f>
        <v/>
      </c>
      <c r="AD706" s="15">
        <f>SUMPRODUCT(M706:X706,$M$6:$X$6)</f>
        <v/>
      </c>
      <c r="AE706" s="19" t="n"/>
    </row>
    <row r="707">
      <c r="A707" s="9" t="n">
        <v>641743</v>
      </c>
      <c r="B707" s="9" t="inlineStr">
        <is>
          <t>Anthony Kay</t>
        </is>
      </c>
      <c r="C707" s="9" t="inlineStr">
        <is>
          <t>CWS</t>
        </is>
      </c>
      <c r="D707" s="9" t="n">
        <v>32</v>
      </c>
      <c r="E707" s="17" t="inlineStr">
        <is>
          <t>L</t>
        </is>
      </c>
      <c r="F707" s="17" t="n"/>
      <c r="G707" s="9" t="n">
        <v>279</v>
      </c>
      <c r="H707" s="9" t="n">
        <v>355</v>
      </c>
      <c r="I707" s="9" t="inlineStr">
        <is>
          <t>End-of-Rotation Starter (SP4-5)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</f>
        <v/>
      </c>
      <c r="AD707" s="15">
        <f>SUMPRODUCT(M707:X707,$M$6:$X$6)</f>
        <v/>
      </c>
      <c r="AE707" s="19" t="n"/>
    </row>
    <row r="708">
      <c r="A708" s="9" t="n">
        <v>663969</v>
      </c>
      <c r="B708" s="9" t="inlineStr">
        <is>
          <t>Tyler Phillips</t>
        </is>
      </c>
      <c r="C708" s="9" t="inlineStr">
        <is>
          <t>MIA</t>
        </is>
      </c>
      <c r="D708" s="9" t="n">
        <v>29</v>
      </c>
      <c r="E708" s="17" t="inlineStr">
        <is>
          <t>R</t>
        </is>
      </c>
      <c r="F708" s="17" t="n"/>
      <c r="G708" s="9" t="n">
        <v>189</v>
      </c>
      <c r="H708" s="9" t="n">
        <v>662</v>
      </c>
      <c r="I708" s="9" t="inlineStr">
        <is>
          <t>Bullpen Depth Arm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</f>
        <v/>
      </c>
      <c r="AD708" s="15">
        <f>SUMPRODUCT(M708:X708,$M$6:$X$6)</f>
        <v/>
      </c>
      <c r="AE708" s="19" t="n"/>
    </row>
    <row r="709">
      <c r="A709" s="9" t="n">
        <v>672456</v>
      </c>
      <c r="B709" s="9" t="inlineStr">
        <is>
          <t>Keider Montero</t>
        </is>
      </c>
      <c r="C709" s="9" t="inlineStr">
        <is>
          <t>DET</t>
        </is>
      </c>
      <c r="D709" s="9" t="n">
        <v>26</v>
      </c>
      <c r="E709" s="17" t="inlineStr">
        <is>
          <t>R</t>
        </is>
      </c>
      <c r="F709" s="17" t="n"/>
      <c r="G709" s="9" t="n">
        <v>264</v>
      </c>
      <c r="H709" s="9" t="n">
        <v>1065</v>
      </c>
      <c r="I709" s="9" t="inlineStr">
        <is>
          <t>Mid-Rotation Starter (SP2-3)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</f>
        <v/>
      </c>
      <c r="AD709" s="15">
        <f>SUMPRODUCT(M709:X709,$M$6:$X$6)</f>
        <v/>
      </c>
      <c r="AE709" s="19" t="n"/>
    </row>
    <row r="710">
      <c r="A710" s="9" t="n">
        <v>674285</v>
      </c>
      <c r="B710" s="9" t="inlineStr">
        <is>
          <t>Eduardo Salazar</t>
        </is>
      </c>
      <c r="C710" s="9" t="inlineStr">
        <is>
          <t>WSH</t>
        </is>
      </c>
      <c r="D710" s="9" t="n">
        <v>29</v>
      </c>
      <c r="E710" s="17" t="inlineStr">
        <is>
          <t>R</t>
        </is>
      </c>
      <c r="F710" s="17" t="n"/>
      <c r="G710" s="9" t="n">
        <v>150</v>
      </c>
      <c r="H710" s="9" t="n">
        <v>344</v>
      </c>
      <c r="I710" s="9" t="inlineStr">
        <is>
          <t>Bullpen Depth Arm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</f>
        <v/>
      </c>
      <c r="AD710" s="15">
        <f>SUMPRODUCT(M710:X710,$M$6:$X$6)</f>
        <v/>
      </c>
      <c r="AE710" s="19" t="n"/>
    </row>
    <row r="711">
      <c r="A711" s="9" t="n">
        <v>641793</v>
      </c>
      <c r="B711" s="9" t="inlineStr">
        <is>
          <t>Zack Littell</t>
        </is>
      </c>
      <c r="C711" s="9" t="inlineStr">
        <is>
          <t>WSH</t>
        </is>
      </c>
      <c r="D711" s="9" t="n">
        <v>31</v>
      </c>
      <c r="E711" s="17" t="inlineStr">
        <is>
          <t>R</t>
        </is>
      </c>
      <c r="F711" s="17" t="n"/>
      <c r="G711" s="9" t="n">
        <v>278</v>
      </c>
      <c r="H711" s="9" t="n">
        <v>2262</v>
      </c>
      <c r="I711" s="9" t="inlineStr">
        <is>
          <t>Mid-Rotation Starter (SP2-3)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</f>
        <v/>
      </c>
      <c r="AD711" s="15">
        <f>SUMPRODUCT(M711:X711,$M$6:$X$6)</f>
        <v/>
      </c>
      <c r="AE711" s="19" t="n"/>
    </row>
    <row r="712">
      <c r="A712" s="9" t="n">
        <v>695534</v>
      </c>
      <c r="B712" s="9" t="inlineStr">
        <is>
          <t>Chase Petty</t>
        </is>
      </c>
      <c r="C712" s="9" t="inlineStr">
        <is>
          <t>CIN</t>
        </is>
      </c>
      <c r="D712" s="9" t="n">
        <v>24</v>
      </c>
      <c r="E712" s="17" t="inlineStr">
        <is>
          <t>R</t>
        </is>
      </c>
      <c r="F712" s="17" t="n"/>
      <c r="G712" s="9" t="n">
        <v>45</v>
      </c>
      <c r="H712" s="9" t="n">
        <v>85</v>
      </c>
      <c r="I712" s="9" t="inlineStr">
        <is>
          <t>End-of-Rotation Starter (SP4-5)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</f>
        <v/>
      </c>
      <c r="AD712" s="15">
        <f>SUMPRODUCT(M712:X712,$M$6:$X$6)</f>
        <v/>
      </c>
      <c r="AE712" s="19" t="n"/>
    </row>
    <row r="713">
      <c r="A713" s="9" t="n">
        <v>663978</v>
      </c>
      <c r="B713" s="9" t="inlineStr">
        <is>
          <t>Chris Paddack</t>
        </is>
      </c>
      <c r="C713" s="9" t="inlineStr">
        <is>
          <t>CIN</t>
        </is>
      </c>
      <c r="D713" s="9" t="n">
        <v>31</v>
      </c>
      <c r="E713" s="17" t="inlineStr">
        <is>
          <t>R</t>
        </is>
      </c>
      <c r="F713" s="17" t="n"/>
      <c r="G713" s="9" t="n">
        <v>224</v>
      </c>
      <c r="H713" s="9" t="n">
        <v>1393</v>
      </c>
      <c r="I713" s="9" t="inlineStr">
        <is>
          <t>End-of-Rotation Starter (SP4-5)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</f>
        <v/>
      </c>
      <c r="AD713" s="15">
        <f>SUMPRODUCT(M713:X713,$M$6:$X$6)</f>
        <v/>
      </c>
      <c r="AE713" s="19" t="n"/>
    </row>
    <row r="714">
      <c r="A714" s="9" t="n">
        <v>669920</v>
      </c>
      <c r="B714" s="9" t="inlineStr">
        <is>
          <t>Jason Alexander</t>
        </is>
      </c>
      <c r="C714" s="9" t="inlineStr">
        <is>
          <t>HOU</t>
        </is>
      </c>
      <c r="D714" s="9" t="n">
        <v>34</v>
      </c>
      <c r="E714" s="17" t="inlineStr">
        <is>
          <t>R</t>
        </is>
      </c>
      <c r="F714" s="17" t="n"/>
      <c r="G714" s="9" t="n">
        <v>84</v>
      </c>
      <c r="H714" s="9" t="n">
        <v>741</v>
      </c>
      <c r="I714" s="9" t="inlineStr">
        <is>
          <t>End-of-Rotation Starter (SP4-5)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</f>
        <v/>
      </c>
      <c r="AD714" s="15">
        <f>SUMPRODUCT(M714:X714,$M$6:$X$6)</f>
        <v/>
      </c>
      <c r="AE714" s="19" t="n"/>
    </row>
    <row r="715">
      <c r="A715" s="9" t="n">
        <v>642232</v>
      </c>
      <c r="B715" s="9" t="inlineStr">
        <is>
          <t>Ryan Yarbrough</t>
        </is>
      </c>
      <c r="C715" s="9" t="inlineStr">
        <is>
          <t>NYY</t>
        </is>
      </c>
      <c r="D715" s="9" t="n">
        <v>35</v>
      </c>
      <c r="E715" s="17" t="inlineStr">
        <is>
          <t>L</t>
        </is>
      </c>
      <c r="F715" s="17" t="n"/>
      <c r="G715" s="9" t="n">
        <v>90</v>
      </c>
      <c r="H715" s="9" t="n">
        <v>1484</v>
      </c>
      <c r="I715" s="9" t="inlineStr">
        <is>
          <t>Middle Relief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</f>
        <v/>
      </c>
      <c r="AD715" s="15">
        <f>SUMPRODUCT(M715:X715,$M$6:$X$6)</f>
        <v/>
      </c>
      <c r="AE715" s="19" t="n"/>
    </row>
    <row r="716">
      <c r="A716" s="9" t="n">
        <v>624431</v>
      </c>
      <c r="B716" s="9" t="inlineStr">
        <is>
          <t>Jose Trevino</t>
        </is>
      </c>
      <c r="C716" s="9" t="inlineStr">
        <is>
          <t>CIN</t>
        </is>
      </c>
      <c r="D716" s="9" t="n">
        <v>34</v>
      </c>
      <c r="E716" s="17" t="inlineStr">
        <is>
          <t>R</t>
        </is>
      </c>
      <c r="F716" s="17" t="n"/>
      <c r="G716" s="9" t="n">
        <v>29</v>
      </c>
      <c r="H716" s="9" t="n">
        <v>54</v>
      </c>
      <c r="I716" s="9" t="inlineStr">
        <is>
          <t>Bullpen Depth Arm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</f>
        <v/>
      </c>
      <c r="AD716" s="15">
        <f>SUMPRODUCT(M716:X716,$M$6:$X$6)</f>
        <v/>
      </c>
      <c r="AE716" s="19" t="n"/>
    </row>
    <row r="717">
      <c r="A717" s="9" t="n">
        <v>642528</v>
      </c>
      <c r="B717" s="9" t="inlineStr">
        <is>
          <t>Jonathan Loáisiga</t>
        </is>
      </c>
      <c r="C717" s="9" t="inlineStr">
        <is>
          <t>ARI</t>
        </is>
      </c>
      <c r="D717" s="9" t="n">
        <v>32</v>
      </c>
      <c r="E717" s="17" t="inlineStr">
        <is>
          <t>R</t>
        </is>
      </c>
      <c r="F717" s="17" t="n"/>
      <c r="G717" s="9" t="n">
        <v>98</v>
      </c>
      <c r="H717" s="9" t="n">
        <v>525</v>
      </c>
      <c r="I717" s="9" t="inlineStr">
        <is>
          <t>Bullpen Depth Arm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</f>
        <v/>
      </c>
      <c r="AD717" s="15">
        <f>SUMPRODUCT(M717:X717,$M$6:$X$6)</f>
        <v/>
      </c>
      <c r="AE717" s="19" t="n"/>
    </row>
    <row r="718">
      <c r="A718" s="9" t="n">
        <v>669145</v>
      </c>
      <c r="B718" s="9" t="inlineStr">
        <is>
          <t>Bruce Zimmermann</t>
        </is>
      </c>
      <c r="C718" s="9" t="inlineStr">
        <is>
          <t>MIL</t>
        </is>
      </c>
      <c r="D718" s="9" t="n">
        <v>32</v>
      </c>
      <c r="E718" s="17" t="inlineStr">
        <is>
          <t>L</t>
        </is>
      </c>
      <c r="F718" s="17" t="n"/>
      <c r="G718" s="9" t="n">
        <v>28</v>
      </c>
      <c r="H718" s="9" t="n">
        <v>409</v>
      </c>
      <c r="I718" s="9" t="inlineStr">
        <is>
          <t>Ace (SP1)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</f>
        <v/>
      </c>
      <c r="AD718" s="15">
        <f>SUMPRODUCT(M718:X718,$M$6:$X$6)</f>
        <v/>
      </c>
      <c r="AE718" s="19" t="n"/>
    </row>
    <row r="719">
      <c r="A719" s="9" t="n">
        <v>647315</v>
      </c>
      <c r="B719" s="9" t="inlineStr">
        <is>
          <t>Zach Pop</t>
        </is>
      </c>
      <c r="C719" s="9" t="inlineStr">
        <is>
          <t>PHI</t>
        </is>
      </c>
      <c r="D719" s="9" t="n">
        <v>30</v>
      </c>
      <c r="E719" s="17" t="inlineStr">
        <is>
          <t>R</t>
        </is>
      </c>
      <c r="F719" s="17" t="n"/>
      <c r="G719" s="9" t="n">
        <v>31</v>
      </c>
      <c r="H719" s="9" t="n">
        <v>492</v>
      </c>
      <c r="I719" s="9" t="inlineStr">
        <is>
          <t>Bullpen Depth Arm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</f>
        <v/>
      </c>
      <c r="AD719" s="15">
        <f>SUMPRODUCT(M719:X719,$M$6:$X$6)</f>
        <v/>
      </c>
      <c r="AE719" s="19" t="n"/>
    </row>
    <row r="720">
      <c r="A720" s="9" t="n">
        <v>571771</v>
      </c>
      <c r="B720" s="9" t="inlineStr">
        <is>
          <t>Enrique Hernández</t>
        </is>
      </c>
      <c r="C720" s="9" t="inlineStr">
        <is>
          <t>LAD</t>
        </is>
      </c>
      <c r="D720" s="9" t="n">
        <v>35</v>
      </c>
      <c r="E720" s="17" t="inlineStr">
        <is>
          <t>R</t>
        </is>
      </c>
      <c r="F720" s="17" t="n"/>
      <c r="G720" s="9" t="n">
        <v>37</v>
      </c>
      <c r="H720" s="9" t="n">
        <v>55</v>
      </c>
      <c r="I720" s="9" t="inlineStr">
        <is>
          <t>Bullpen Depth Arm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</f>
        <v/>
      </c>
      <c r="AD720" s="15">
        <f>SUMPRODUCT(M720:X720,$M$6:$X$6)</f>
        <v/>
      </c>
      <c r="AE720" s="19" t="n"/>
    </row>
    <row r="721">
      <c r="A721" s="9" t="n">
        <v>686826</v>
      </c>
      <c r="B721" s="9" t="inlineStr">
        <is>
          <t>Bryce Jarvis</t>
        </is>
      </c>
      <c r="C721" s="9" t="inlineStr">
        <is>
          <t>ARI</t>
        </is>
      </c>
      <c r="D721" s="9" t="n">
        <v>29</v>
      </c>
      <c r="E721" s="17" t="inlineStr">
        <is>
          <t>R</t>
        </is>
      </c>
      <c r="F721" s="17" t="n"/>
      <c r="G721" s="9" t="n">
        <v>98</v>
      </c>
      <c r="H721" s="9" t="n">
        <v>448</v>
      </c>
      <c r="I721" s="9" t="inlineStr">
        <is>
          <t>Bullpen Depth Arm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</f>
        <v/>
      </c>
      <c r="AD721" s="15">
        <f>SUMPRODUCT(M721:X721,$M$6:$X$6)</f>
        <v/>
      </c>
      <c r="AE721" s="19" t="n"/>
    </row>
    <row r="722">
      <c r="A722" s="9" t="n">
        <v>681867</v>
      </c>
      <c r="B722" s="9" t="inlineStr">
        <is>
          <t>Cooper Criswell</t>
        </is>
      </c>
      <c r="C722" s="9" t="inlineStr">
        <is>
          <t>SEA</t>
        </is>
      </c>
      <c r="D722" s="9" t="n">
        <v>30</v>
      </c>
      <c r="E722" s="17" t="inlineStr">
        <is>
          <t>R</t>
        </is>
      </c>
      <c r="F722" s="17" t="n"/>
      <c r="G722" s="9" t="n">
        <v>121</v>
      </c>
      <c r="H722" s="9" t="n">
        <v>789</v>
      </c>
      <c r="I722" s="9" t="inlineStr">
        <is>
          <t>Middle Relief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</f>
        <v/>
      </c>
      <c r="AD722" s="15">
        <f>SUMPRODUCT(M722:X722,$M$6:$X$6)</f>
        <v/>
      </c>
      <c r="AE722" s="19" t="n"/>
    </row>
    <row r="723">
      <c r="A723" s="9" t="n">
        <v>676083</v>
      </c>
      <c r="B723" s="9" t="inlineStr">
        <is>
          <t>Janson Junk</t>
        </is>
      </c>
      <c r="C723" s="9" t="inlineStr">
        <is>
          <t>MIA</t>
        </is>
      </c>
      <c r="D723" s="9" t="n">
        <v>31</v>
      </c>
      <c r="E723" s="17" t="inlineStr">
        <is>
          <t>R</t>
        </is>
      </c>
      <c r="F723" s="17" t="n"/>
      <c r="G723" s="9" t="n">
        <v>255</v>
      </c>
      <c r="H723" s="9" t="n">
        <v>820</v>
      </c>
      <c r="I723" s="9" t="inlineStr">
        <is>
          <t>Mid-Rotation Starter (SP2-3)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</f>
        <v/>
      </c>
      <c r="AD723" s="15">
        <f>SUMPRODUCT(M723:X723,$M$6:$X$6)</f>
        <v/>
      </c>
      <c r="AE723" s="19" t="n"/>
    </row>
    <row r="724">
      <c r="A724" s="9" t="n">
        <v>643361</v>
      </c>
      <c r="B724" s="9" t="inlineStr">
        <is>
          <t>Kevin Herget</t>
        </is>
      </c>
      <c r="C724" s="9" t="inlineStr">
        <is>
          <t>NYM</t>
        </is>
      </c>
      <c r="D724" s="9" t="n">
        <v>36</v>
      </c>
      <c r="E724" s="17" t="inlineStr">
        <is>
          <t>R</t>
        </is>
      </c>
      <c r="F724" s="17" t="n"/>
      <c r="G724" s="9" t="n">
        <v>56</v>
      </c>
      <c r="H724" s="9" t="n">
        <v>234</v>
      </c>
      <c r="I724" s="9" t="inlineStr">
        <is>
          <t>Bullpen Depth Arm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</f>
        <v/>
      </c>
      <c r="AD724" s="15">
        <f>SUMPRODUCT(M724:X724,$M$6:$X$6)</f>
        <v/>
      </c>
      <c r="AE724" s="19" t="n"/>
    </row>
    <row r="725">
      <c r="A725" s="9" t="n">
        <v>663568</v>
      </c>
      <c r="B725" s="9" t="inlineStr">
        <is>
          <t>Stephen Kolek</t>
        </is>
      </c>
      <c r="C725" s="9" t="inlineStr">
        <is>
          <t>KC</t>
        </is>
      </c>
      <c r="D725" s="9" t="n">
        <v>30</v>
      </c>
      <c r="E725" s="17" t="inlineStr">
        <is>
          <t>R</t>
        </is>
      </c>
      <c r="F725" s="17" t="n"/>
      <c r="G725" s="9" t="n">
        <v>172</v>
      </c>
      <c r="H725" s="9" t="n">
        <v>844</v>
      </c>
      <c r="I725" s="9" t="inlineStr">
        <is>
          <t>Mid-Rotation Starter (SP2-3)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</f>
        <v/>
      </c>
      <c r="AD725" s="15">
        <f>SUMPRODUCT(M725:X725,$M$6:$X$6)</f>
        <v/>
      </c>
      <c r="AE725" s="19" t="n"/>
    </row>
    <row r="726">
      <c r="A726" s="9" t="n">
        <v>541640</v>
      </c>
      <c r="B726" s="9" t="inlineStr">
        <is>
          <t>Erasmo Ramírez</t>
        </is>
      </c>
      <c r="C726" s="9" t="inlineStr">
        <is>
          <t>MIN</t>
        </is>
      </c>
      <c r="D726" s="9" t="n">
        <v>37</v>
      </c>
      <c r="E726" s="17" t="inlineStr">
        <is>
          <t>R</t>
        </is>
      </c>
      <c r="F726" s="17" t="n"/>
      <c r="G726" s="9" t="n">
        <v>42</v>
      </c>
      <c r="H726" s="9" t="n">
        <v>748</v>
      </c>
      <c r="I726" s="9" t="inlineStr">
        <is>
          <t>Bullpen Depth Arm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</f>
        <v/>
      </c>
      <c r="AD726" s="15">
        <f>SUMPRODUCT(M726:X726,$M$6:$X$6)</f>
        <v/>
      </c>
      <c r="AE726" s="19" t="n"/>
    </row>
    <row r="727">
      <c r="A727" s="9" t="n">
        <v>571578</v>
      </c>
      <c r="B727" s="9" t="inlineStr">
        <is>
          <t>Patrick Corbin</t>
        </is>
      </c>
      <c r="C727" s="9" t="inlineStr">
        <is>
          <t>TOR</t>
        </is>
      </c>
      <c r="D727" s="9" t="n">
        <v>37</v>
      </c>
      <c r="E727" s="17" t="inlineStr">
        <is>
          <t>L</t>
        </is>
      </c>
      <c r="F727" s="17" t="n"/>
      <c r="G727" s="9" t="n">
        <v>252</v>
      </c>
      <c r="H727" s="9" t="n">
        <v>3182</v>
      </c>
      <c r="I727" s="9" t="inlineStr">
        <is>
          <t>Mid-Rotation Starter (SP2-3)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</f>
        <v/>
      </c>
      <c r="AD727" s="15">
        <f>SUMPRODUCT(M727:X727,$M$6:$X$6)</f>
        <v/>
      </c>
      <c r="AE727" s="19" t="n"/>
    </row>
    <row r="728">
      <c r="A728" s="9" t="n">
        <v>680730</v>
      </c>
      <c r="B728" s="9" t="inlineStr">
        <is>
          <t>Mitchell Parker</t>
        </is>
      </c>
      <c r="C728" s="9" t="inlineStr">
        <is>
          <t>WSH</t>
        </is>
      </c>
      <c r="D728" s="9" t="n">
        <v>27</v>
      </c>
      <c r="E728" s="17" t="inlineStr">
        <is>
          <t>L</t>
        </is>
      </c>
      <c r="F728" s="17" t="n"/>
      <c r="G728" s="9" t="n">
        <v>139</v>
      </c>
      <c r="H728" s="9" t="n">
        <v>1510</v>
      </c>
      <c r="I728" s="9" t="inlineStr">
        <is>
          <t>End-of-Rotation Starter (SP4-5)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</f>
        <v/>
      </c>
      <c r="AD728" s="15">
        <f>SUMPRODUCT(M728:X728,$M$6:$X$6)</f>
        <v/>
      </c>
      <c r="AE728" s="19" t="n"/>
    </row>
    <row r="729">
      <c r="A729" s="9" t="n">
        <v>500779</v>
      </c>
      <c r="B729" s="9" t="inlineStr">
        <is>
          <t>Jose Quintana</t>
        </is>
      </c>
      <c r="C729" s="9" t="inlineStr">
        <is>
          <t>COL</t>
        </is>
      </c>
      <c r="D729" s="9" t="n">
        <v>38</v>
      </c>
      <c r="E729" s="17" t="inlineStr">
        <is>
          <t>L</t>
        </is>
      </c>
      <c r="F729" s="17" t="n"/>
      <c r="G729" s="9" t="n">
        <v>181</v>
      </c>
      <c r="H729" s="9" t="n">
        <v>2452</v>
      </c>
      <c r="I729" s="9" t="inlineStr">
        <is>
          <t>Mid-Rotation Starter (SP2-3)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</f>
        <v/>
      </c>
      <c r="AD729" s="15">
        <f>SUMPRODUCT(M729:X729,$M$6:$X$6)</f>
        <v/>
      </c>
      <c r="AE729" s="19" t="n"/>
    </row>
    <row r="730">
      <c r="A730" s="9" t="n">
        <v>683155</v>
      </c>
      <c r="B730" s="9" t="inlineStr">
        <is>
          <t>Joey Estes</t>
        </is>
      </c>
      <c r="C730" s="9" t="inlineStr">
        <is>
          <t>OAK</t>
        </is>
      </c>
      <c r="D730" s="9" t="n">
        <v>25</v>
      </c>
      <c r="E730" s="17" t="inlineStr">
        <is>
          <t>R</t>
        </is>
      </c>
      <c r="F730" s="17" t="n"/>
      <c r="G730" s="9" t="n">
        <v>55</v>
      </c>
      <c r="H730" s="9" t="n">
        <v>645</v>
      </c>
      <c r="I730" s="9" t="inlineStr">
        <is>
          <t>End-of-Rotation Starter (SP4-5)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</f>
        <v/>
      </c>
      <c r="AD730" s="15">
        <f>SUMPRODUCT(M730:X730,$M$6:$X$6)</f>
        <v/>
      </c>
      <c r="AE730" s="19" t="n"/>
    </row>
    <row r="731">
      <c r="A731" s="9" t="n">
        <v>592836</v>
      </c>
      <c r="B731" s="9" t="inlineStr">
        <is>
          <t>Taijuan Walker</t>
        </is>
      </c>
      <c r="C731" s="9" t="inlineStr">
        <is>
          <t>PHI</t>
        </is>
      </c>
      <c r="D731" s="9" t="n">
        <v>34</v>
      </c>
      <c r="E731" s="17" t="inlineStr">
        <is>
          <t>R</t>
        </is>
      </c>
      <c r="F731" s="17" t="n"/>
      <c r="G731" s="9" t="n">
        <v>115</v>
      </c>
      <c r="H731" s="9" t="n">
        <v>2416</v>
      </c>
      <c r="I731" s="9" t="inlineStr">
        <is>
          <t>End-of-Rotation Starter (SP4-5)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</f>
        <v/>
      </c>
      <c r="AD731" s="15">
        <f>SUMPRODUCT(M731:X731,$M$6:$X$6)</f>
        <v/>
      </c>
      <c r="AE731" s="19" t="n"/>
    </row>
    <row r="732">
      <c r="A732" s="9" t="n">
        <v>694346</v>
      </c>
      <c r="B732" s="9" t="inlineStr">
        <is>
          <t>Trey Gibson</t>
        </is>
      </c>
      <c r="C732" s="9" t="inlineStr">
        <is>
          <t>BAL</t>
        </is>
      </c>
      <c r="D732" s="9" t="n">
        <v>25</v>
      </c>
      <c r="E732" s="17" t="inlineStr">
        <is>
          <t>R</t>
        </is>
      </c>
      <c r="F732" s="17" t="n"/>
      <c r="G732" s="9" t="n">
        <v>74</v>
      </c>
      <c r="H732" s="9" t="n">
        <v>74</v>
      </c>
      <c r="I732" s="9" t="inlineStr">
        <is>
          <t>End-of-Rotation Starter (SP4-5)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</f>
        <v/>
      </c>
      <c r="AD732" s="15">
        <f>SUMPRODUCT(M732:X732,$M$6:$X$6)</f>
        <v/>
      </c>
      <c r="AE732" s="19" t="n"/>
    </row>
    <row r="733">
      <c r="A733" s="9" t="n">
        <v>518397</v>
      </c>
      <c r="B733" s="9" t="inlineStr">
        <is>
          <t>Scott Alexander</t>
        </is>
      </c>
      <c r="C733" s="9" t="inlineStr">
        <is>
          <t>SF</t>
        </is>
      </c>
      <c r="D733" s="9" t="n">
        <v>37</v>
      </c>
      <c r="E733" s="17" t="inlineStr">
        <is>
          <t>L</t>
        </is>
      </c>
      <c r="F733" s="17" t="n"/>
      <c r="G733" s="9" t="n">
        <v>81</v>
      </c>
      <c r="H733" s="9" t="n">
        <v>512</v>
      </c>
      <c r="I733" s="9" t="inlineStr">
        <is>
          <t>Bullpen Depth Arm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</f>
        <v/>
      </c>
      <c r="AD733" s="15">
        <f>SUMPRODUCT(M733:X733,$M$6:$X$6)</f>
        <v/>
      </c>
      <c r="AE733" s="19" t="n"/>
    </row>
    <row r="734">
      <c r="A734" s="9" t="n">
        <v>669724</v>
      </c>
      <c r="B734" s="9" t="inlineStr">
        <is>
          <t>Brenan Hanifee</t>
        </is>
      </c>
      <c r="C734" s="9" t="inlineStr">
        <is>
          <t>DET</t>
        </is>
      </c>
      <c r="D734" s="9" t="n">
        <v>29</v>
      </c>
      <c r="E734" s="17" t="inlineStr">
        <is>
          <t>R</t>
        </is>
      </c>
      <c r="F734" s="17" t="n"/>
      <c r="G734" s="9" t="n">
        <v>55</v>
      </c>
      <c r="H734" s="9" t="n">
        <v>458</v>
      </c>
      <c r="I734" s="9" t="inlineStr">
        <is>
          <t>Bullpen Depth Arm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</f>
        <v/>
      </c>
      <c r="AD734" s="15">
        <f>SUMPRODUCT(M734:X734,$M$6:$X$6)</f>
        <v/>
      </c>
      <c r="AE734" s="19" t="n"/>
    </row>
    <row r="735">
      <c r="A735" s="9" t="n">
        <v>643511</v>
      </c>
      <c r="B735" s="9" t="inlineStr">
        <is>
          <t>Tyler Rogers</t>
        </is>
      </c>
      <c r="C735" s="9" t="inlineStr">
        <is>
          <t>TOR</t>
        </is>
      </c>
      <c r="D735" s="9" t="n">
        <v>36</v>
      </c>
      <c r="E735" s="17" t="inlineStr">
        <is>
          <t>R</t>
        </is>
      </c>
      <c r="F735" s="17" t="n"/>
      <c r="G735" s="9" t="n">
        <v>119</v>
      </c>
      <c r="H735" s="9" t="n">
        <v>1336</v>
      </c>
      <c r="I735" s="9" t="inlineStr">
        <is>
          <t>Middle Relief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</f>
        <v/>
      </c>
      <c r="AD735" s="15">
        <f>SUMPRODUCT(M735:X735,$M$6:$X$6)</f>
        <v/>
      </c>
      <c r="AE735" s="19" t="n"/>
    </row>
    <row r="736">
      <c r="A736" s="9" t="n">
        <v>596271</v>
      </c>
      <c r="B736" s="9" t="inlineStr">
        <is>
          <t>Casey Lawrence</t>
        </is>
      </c>
      <c r="C736" s="9" t="inlineStr">
        <is>
          <t>SEA</t>
        </is>
      </c>
      <c r="D736" s="9" t="n">
        <v>39</v>
      </c>
      <c r="E736" s="17" t="inlineStr">
        <is>
          <t>R</t>
        </is>
      </c>
      <c r="F736" s="17" t="n"/>
      <c r="G736" s="9" t="n">
        <v>80</v>
      </c>
      <c r="H736" s="9" t="n">
        <v>281</v>
      </c>
      <c r="I736" s="9" t="inlineStr">
        <is>
          <t>Bullpen Depth Arm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</f>
        <v/>
      </c>
      <c r="AD736" s="15">
        <f>SUMPRODUCT(M736:X736,$M$6:$X$6)</f>
        <v/>
      </c>
      <c r="AE736" s="19" t="n"/>
    </row>
    <row r="737">
      <c r="A737" s="9" t="n">
        <v>669060</v>
      </c>
      <c r="B737" s="9" t="inlineStr">
        <is>
          <t>Bryse Wilson</t>
        </is>
      </c>
      <c r="C737" s="9" t="inlineStr">
        <is>
          <t>CWS</t>
        </is>
      </c>
      <c r="D737" s="9" t="n">
        <v>29</v>
      </c>
      <c r="E737" s="17" t="inlineStr">
        <is>
          <t>R</t>
        </is>
      </c>
      <c r="F737" s="17" t="n"/>
      <c r="G737" s="9" t="n">
        <v>224</v>
      </c>
      <c r="H737" s="9" t="n">
        <v>1489</v>
      </c>
      <c r="I737" s="9" t="inlineStr">
        <is>
          <t>Bullpen Depth Arm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</f>
        <v/>
      </c>
      <c r="AD737" s="15">
        <f>SUMPRODUCT(M737:X737,$M$6:$X$6)</f>
        <v/>
      </c>
      <c r="AE737" s="19" t="n"/>
    </row>
    <row r="738">
      <c r="A738" s="9" t="n">
        <v>800049</v>
      </c>
      <c r="B738" s="9" t="inlineStr">
        <is>
          <t>Adam Mazur</t>
        </is>
      </c>
      <c r="C738" s="9" t="inlineStr">
        <is>
          <t>MIA</t>
        </is>
      </c>
      <c r="D738" s="9" t="n">
        <v>26</v>
      </c>
      <c r="E738" s="17" t="inlineStr">
        <is>
          <t>R</t>
        </is>
      </c>
      <c r="F738" s="17" t="n"/>
      <c r="G738" s="9" t="n">
        <v>139</v>
      </c>
      <c r="H738" s="9" t="n">
        <v>297</v>
      </c>
      <c r="I738" s="9" t="inlineStr">
        <is>
          <t>End-of-Rotation Starter (SP4-5)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</f>
        <v/>
      </c>
      <c r="AD738" s="15">
        <f>SUMPRODUCT(M738:X738,$M$6:$X$6)</f>
        <v/>
      </c>
      <c r="AE738" s="19" t="n"/>
    </row>
    <row r="739">
      <c r="A739" s="9" t="n">
        <v>489119</v>
      </c>
      <c r="B739" s="9" t="inlineStr">
        <is>
          <t>Wade Miley</t>
        </is>
      </c>
      <c r="C739" s="9" t="inlineStr">
        <is>
          <t>CIN</t>
        </is>
      </c>
      <c r="D739" s="9" t="n">
        <v>40</v>
      </c>
      <c r="E739" s="17" t="inlineStr">
        <is>
          <t>L</t>
        </is>
      </c>
      <c r="F739" s="17" t="n"/>
      <c r="G739" s="9" t="n">
        <v>55</v>
      </c>
      <c r="H739" s="9" t="n">
        <v>734</v>
      </c>
      <c r="I739" s="9" t="inlineStr">
        <is>
          <t>End-of-Rotation Starter (SP4-5)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</f>
        <v/>
      </c>
      <c r="AD739" s="15">
        <f>SUMPRODUCT(M739:X739,$M$6:$X$6)</f>
        <v/>
      </c>
      <c r="AE739" s="19" t="n"/>
    </row>
    <row r="740">
      <c r="A740" s="9" t="n">
        <v>688642</v>
      </c>
      <c r="B740" s="9" t="inlineStr">
        <is>
          <t>Zach Agnos</t>
        </is>
      </c>
      <c r="C740" s="9" t="inlineStr">
        <is>
          <t>COL</t>
        </is>
      </c>
      <c r="D740" s="9" t="n">
        <v>26</v>
      </c>
      <c r="E740" s="17" t="inlineStr">
        <is>
          <t>R</t>
        </is>
      </c>
      <c r="F740" s="17" t="n"/>
      <c r="G740" s="9" t="n">
        <v>185</v>
      </c>
      <c r="H740" s="9" t="n">
        <v>323</v>
      </c>
      <c r="I740" s="9" t="inlineStr">
        <is>
          <t>Bullpen Depth Arm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</f>
        <v/>
      </c>
      <c r="AD740" s="15">
        <f>SUMPRODUCT(M740:X740,$M$6:$X$6)</f>
        <v/>
      </c>
      <c r="AE740" s="19" t="n"/>
    </row>
    <row r="741">
      <c r="A741" s="9" t="n">
        <v>700241</v>
      </c>
      <c r="B741" s="9" t="inlineStr">
        <is>
          <t>Michael McGreevy</t>
        </is>
      </c>
      <c r="C741" s="9" t="inlineStr">
        <is>
          <t>STL</t>
        </is>
      </c>
      <c r="D741" s="9" t="n">
        <v>26</v>
      </c>
      <c r="E741" s="17" t="inlineStr">
        <is>
          <t>R</t>
        </is>
      </c>
      <c r="F741" s="17" t="n"/>
      <c r="G741" s="9" t="n">
        <v>285</v>
      </c>
      <c r="H741" s="9" t="n">
        <v>771</v>
      </c>
      <c r="I741" s="9" t="inlineStr">
        <is>
          <t>Mid-Rotation Starter (SP2-3)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</f>
        <v/>
      </c>
      <c r="AD741" s="15">
        <f>SUMPRODUCT(M741:X741,$M$6:$X$6)</f>
        <v/>
      </c>
      <c r="AE741" s="19" t="n"/>
    </row>
    <row r="742">
      <c r="A742" s="9" t="n">
        <v>605288</v>
      </c>
      <c r="B742" s="9" t="inlineStr">
        <is>
          <t>Adrian Houser</t>
        </is>
      </c>
      <c r="C742" s="9" t="inlineStr">
        <is>
          <t>SF</t>
        </is>
      </c>
      <c r="D742" s="9" t="n">
        <v>34</v>
      </c>
      <c r="E742" s="17" t="inlineStr">
        <is>
          <t>R</t>
        </is>
      </c>
      <c r="F742" s="17" t="n"/>
      <c r="G742" s="9" t="n">
        <v>296</v>
      </c>
      <c r="H742" s="9" t="n">
        <v>2059</v>
      </c>
      <c r="I742" s="9" t="inlineStr">
        <is>
          <t>Mid-Rotation Starter (SP2-3)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</f>
        <v/>
      </c>
      <c r="AD742" s="15">
        <f>SUMPRODUCT(M742:X742,$M$6:$X$6)</f>
        <v/>
      </c>
      <c r="AE742" s="19" t="n"/>
    </row>
    <row r="743">
      <c r="A743" s="9" t="n">
        <v>663559</v>
      </c>
      <c r="B743" s="9" t="inlineStr">
        <is>
          <t>Bailey Falter</t>
        </is>
      </c>
      <c r="C743" s="9" t="inlineStr">
        <is>
          <t>KC</t>
        </is>
      </c>
      <c r="D743" s="9" t="n">
        <v>30</v>
      </c>
      <c r="E743" s="17" t="inlineStr">
        <is>
          <t>L</t>
        </is>
      </c>
      <c r="F743" s="17" t="n"/>
      <c r="G743" s="9" t="n">
        <v>57</v>
      </c>
      <c r="H743" s="9" t="n">
        <v>1860</v>
      </c>
      <c r="I743" s="9" t="inlineStr">
        <is>
          <t>End-of-Rotation Starter (SP4-5)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</f>
        <v/>
      </c>
      <c r="AD743" s="15">
        <f>SUMPRODUCT(M743:X743,$M$6:$X$6)</f>
        <v/>
      </c>
      <c r="AE743" s="19" t="n"/>
    </row>
    <row r="744">
      <c r="A744" s="9" t="n">
        <v>608566</v>
      </c>
      <c r="B744" s="9" t="inlineStr">
        <is>
          <t>Germán Márquez</t>
        </is>
      </c>
      <c r="C744" s="9" t="inlineStr">
        <is>
          <t>SD</t>
        </is>
      </c>
      <c r="D744" s="9" t="n">
        <v>32</v>
      </c>
      <c r="E744" s="17" t="inlineStr">
        <is>
          <t>R</t>
        </is>
      </c>
      <c r="F744" s="17" t="n"/>
      <c r="G744" s="9" t="n">
        <v>128</v>
      </c>
      <c r="H744" s="9" t="n">
        <v>1598</v>
      </c>
      <c r="I744" s="9" t="inlineStr">
        <is>
          <t>End-of-Rotation Starter (SP4-5)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</f>
        <v/>
      </c>
      <c r="AD744" s="15">
        <f>SUMPRODUCT(M744:X744,$M$6:$X$6)</f>
        <v/>
      </c>
      <c r="AE744" s="19" t="n"/>
    </row>
    <row r="745">
      <c r="A745" s="9" t="n">
        <v>607200</v>
      </c>
      <c r="B745" s="9" t="inlineStr">
        <is>
          <t>Erick Fedde</t>
        </is>
      </c>
      <c r="C745" s="9" t="inlineStr">
        <is>
          <t>CWS</t>
        </is>
      </c>
      <c r="D745" s="9" t="n">
        <v>34</v>
      </c>
      <c r="E745" s="17" t="inlineStr">
        <is>
          <t>R</t>
        </is>
      </c>
      <c r="F745" s="17" t="n"/>
      <c r="G745" s="9" t="n">
        <v>276</v>
      </c>
      <c r="H745" s="9" t="n">
        <v>2198</v>
      </c>
      <c r="I745" s="9" t="inlineStr">
        <is>
          <t>Mid-Rotation Starter (SP2-3)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</f>
        <v/>
      </c>
      <c r="AD745" s="15">
        <f>SUMPRODUCT(M745:X745,$M$6:$X$6)</f>
        <v/>
      </c>
      <c r="AE745" s="19" t="n"/>
    </row>
    <row r="746">
      <c r="A746" s="9" t="n">
        <v>669467</v>
      </c>
      <c r="B746" s="9" t="inlineStr">
        <is>
          <t>Andre Pallante</t>
        </is>
      </c>
      <c r="C746" s="9" t="inlineStr">
        <is>
          <t>STL</t>
        </is>
      </c>
      <c r="D746" s="9" t="n">
        <v>28</v>
      </c>
      <c r="E746" s="17" t="inlineStr">
        <is>
          <t>R</t>
        </is>
      </c>
      <c r="F746" s="17" t="n"/>
      <c r="G746" s="9" t="n">
        <v>274</v>
      </c>
      <c r="H746" s="9" t="n">
        <v>2257</v>
      </c>
      <c r="I746" s="9" t="inlineStr">
        <is>
          <t>End-of-Rotation Starter (SP4-5)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</f>
        <v/>
      </c>
      <c r="AD746" s="15">
        <f>SUMPRODUCT(M746:X746,$M$6:$X$6)</f>
        <v/>
      </c>
      <c r="AE746" s="19" t="n"/>
    </row>
    <row r="747">
      <c r="A747" s="9" t="n">
        <v>607536</v>
      </c>
      <c r="B747" s="9" t="inlineStr">
        <is>
          <t>Kyle Freeland</t>
        </is>
      </c>
      <c r="C747" s="9" t="inlineStr">
        <is>
          <t>COL</t>
        </is>
      </c>
      <c r="D747" s="9" t="n">
        <v>34</v>
      </c>
      <c r="E747" s="17" t="inlineStr">
        <is>
          <t>L</t>
        </is>
      </c>
      <c r="F747" s="17" t="n"/>
      <c r="G747" s="9" t="n">
        <v>252</v>
      </c>
      <c r="H747" s="9" t="n">
        <v>2894</v>
      </c>
      <c r="I747" s="9" t="inlineStr">
        <is>
          <t>Mid-Rotation Starter (SP2-3)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</f>
        <v/>
      </c>
      <c r="AD747" s="15">
        <f>SUMPRODUCT(M747:X747,$M$6:$X$6)</f>
        <v/>
      </c>
      <c r="AE747" s="19" t="n"/>
    </row>
    <row r="748">
      <c r="A748" s="9" t="n">
        <v>678368</v>
      </c>
      <c r="B748" s="9" t="inlineStr">
        <is>
          <t>Valente Bellozo</t>
        </is>
      </c>
      <c r="C748" s="9" t="inlineStr">
        <is>
          <t>COL</t>
        </is>
      </c>
      <c r="D748" s="9" t="n">
        <v>27</v>
      </c>
      <c r="E748" s="17" t="inlineStr">
        <is>
          <t>R</t>
        </is>
      </c>
      <c r="F748" s="17" t="n"/>
      <c r="G748" s="9" t="n">
        <v>48</v>
      </c>
      <c r="H748" s="9" t="n">
        <v>691</v>
      </c>
      <c r="I748" s="9" t="inlineStr">
        <is>
          <t>End-of-Rotation Starter (SP4-5)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</f>
        <v/>
      </c>
      <c r="AD748" s="15">
        <f>SUMPRODUCT(M748:X748,$M$6:$X$6)</f>
        <v/>
      </c>
      <c r="AE748" s="19" t="n"/>
    </row>
    <row r="749">
      <c r="A749" s="9" t="n">
        <v>694363</v>
      </c>
      <c r="B749" s="9" t="inlineStr">
        <is>
          <t>Jared Shuster</t>
        </is>
      </c>
      <c r="C749" s="9" t="inlineStr">
        <is>
          <t>STL</t>
        </is>
      </c>
      <c r="D749" s="9" t="n">
        <v>28</v>
      </c>
      <c r="E749" s="17" t="inlineStr">
        <is>
          <t>L</t>
        </is>
      </c>
      <c r="F749" s="17" t="n"/>
      <c r="G749" s="9" t="n">
        <v>32</v>
      </c>
      <c r="H749" s="9" t="n">
        <v>665</v>
      </c>
      <c r="I749" s="9" t="inlineStr">
        <is>
          <t>Bullpen Depth Arm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</f>
        <v/>
      </c>
      <c r="AD749" s="15">
        <f>SUMPRODUCT(M749:X749,$M$6:$X$6)</f>
        <v/>
      </c>
      <c r="AE749" s="19" t="n"/>
    </row>
    <row r="750">
      <c r="A750" s="9" t="n">
        <v>519008</v>
      </c>
      <c r="B750" s="9" t="inlineStr">
        <is>
          <t>T.J. McFarland</t>
        </is>
      </c>
      <c r="C750" s="9" t="inlineStr">
        <is>
          <t>OAK</t>
        </is>
      </c>
      <c r="D750" s="9" t="n">
        <v>38</v>
      </c>
      <c r="E750" s="17" t="inlineStr">
        <is>
          <t>L</t>
        </is>
      </c>
      <c r="F750" s="17" t="n"/>
      <c r="G750" s="9" t="n">
        <v>74</v>
      </c>
      <c r="H750" s="9" t="n">
        <v>465</v>
      </c>
      <c r="I750" s="9" t="inlineStr">
        <is>
          <t>Bullpen Depth Arm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</f>
        <v/>
      </c>
      <c r="AD750" s="15">
        <f>SUMPRODUCT(M750:X750,$M$6:$X$6)</f>
        <v/>
      </c>
      <c r="AE750" s="19" t="n"/>
    </row>
    <row r="751">
      <c r="A751" s="9" t="n">
        <v>543294</v>
      </c>
      <c r="B751" s="9" t="inlineStr">
        <is>
          <t>Kyle Hendricks</t>
        </is>
      </c>
      <c r="C751" s="9" t="inlineStr">
        <is>
          <t>LAA</t>
        </is>
      </c>
      <c r="D751" s="9" t="n">
        <v>37</v>
      </c>
      <c r="E751" s="17" t="inlineStr">
        <is>
          <t>R</t>
        </is>
      </c>
      <c r="F751" s="17" t="n"/>
      <c r="G751" s="9" t="n">
        <v>695</v>
      </c>
      <c r="H751" s="9" t="n">
        <v>2196</v>
      </c>
      <c r="I751" s="9" t="inlineStr">
        <is>
          <t>End-of-Rotation Starter (SP4-5)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</f>
        <v/>
      </c>
      <c r="AD751" s="15">
        <f>SUMPRODUCT(M751:X751,$M$6:$X$6)</f>
        <v/>
      </c>
      <c r="AE751" s="19" t="n"/>
    </row>
    <row r="752">
      <c r="A752" s="9" t="n">
        <v>623167</v>
      </c>
      <c r="B752" s="9" t="inlineStr">
        <is>
          <t>Chris Flexen</t>
        </is>
      </c>
      <c r="C752" s="9" t="inlineStr">
        <is>
          <t>CHC</t>
        </is>
      </c>
      <c r="D752" s="9" t="n">
        <v>32</v>
      </c>
      <c r="E752" s="17" t="inlineStr">
        <is>
          <t>R</t>
        </is>
      </c>
      <c r="F752" s="17" t="n"/>
      <c r="G752" s="9" t="n">
        <v>178</v>
      </c>
      <c r="H752" s="9" t="n">
        <v>1941</v>
      </c>
      <c r="I752" s="9" t="inlineStr">
        <is>
          <t>End-of-Rotation Starter (SP4-5)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</f>
        <v/>
      </c>
      <c r="AD752" s="15">
        <f>SUMPRODUCT(M752:X752,$M$6:$X$6)</f>
        <v/>
      </c>
      <c r="AE752" s="19" t="n"/>
    </row>
    <row r="753">
      <c r="A753" s="9" t="n">
        <v>571945</v>
      </c>
      <c r="B753" s="9" t="inlineStr">
        <is>
          <t>Miles Mikolas</t>
        </is>
      </c>
      <c r="C753" s="9" t="inlineStr">
        <is>
          <t>WSH</t>
        </is>
      </c>
      <c r="D753" s="9" t="n">
        <v>38</v>
      </c>
      <c r="E753" s="17" t="inlineStr">
        <is>
          <t>R</t>
        </is>
      </c>
      <c r="F753" s="17" t="n"/>
      <c r="G753" s="9" t="n">
        <v>262</v>
      </c>
      <c r="H753" s="9" t="n">
        <v>3316</v>
      </c>
      <c r="I753" s="9" t="inlineStr">
        <is>
          <t>Mid-Rotation Starter (SP2-3)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</f>
        <v/>
      </c>
      <c r="AD753" s="15">
        <f>SUMPRODUCT(M753:X753,$M$6:$X$6)</f>
        <v/>
      </c>
      <c r="AE753" s="19" t="n"/>
    </row>
    <row r="754">
      <c r="A754" s="9" t="n">
        <v>615698</v>
      </c>
      <c r="B754" s="9" t="inlineStr">
        <is>
          <t>Cal Quantrill</t>
        </is>
      </c>
      <c r="C754" s="9" t="inlineStr">
        <is>
          <t>TEX</t>
        </is>
      </c>
      <c r="D754" s="9" t="n">
        <v>32</v>
      </c>
      <c r="E754" s="17" t="inlineStr">
        <is>
          <t>R</t>
        </is>
      </c>
      <c r="F754" s="17" t="n"/>
      <c r="G754" s="9" t="n">
        <v>100</v>
      </c>
      <c r="H754" s="9" t="n">
        <v>2483</v>
      </c>
      <c r="I754" s="9" t="inlineStr">
        <is>
          <t>End-of-Rotation Starter (SP4-5)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</f>
        <v/>
      </c>
      <c r="AD754" s="15">
        <f>SUMPRODUCT(M754:X754,$M$6:$X$6)</f>
        <v/>
      </c>
      <c r="AE754" s="19" t="n"/>
    </row>
    <row r="755">
      <c r="A755" s="9" t="n">
        <v>681190</v>
      </c>
      <c r="B755" s="9" t="inlineStr">
        <is>
          <t>Randy Vásquez</t>
        </is>
      </c>
      <c r="C755" s="9" t="inlineStr">
        <is>
          <t>SD</t>
        </is>
      </c>
      <c r="D755" s="9" t="n">
        <v>28</v>
      </c>
      <c r="E755" s="17" t="inlineStr">
        <is>
          <t>R</t>
        </is>
      </c>
      <c r="F755" s="17" t="n"/>
      <c r="G755" s="9" t="n">
        <v>291</v>
      </c>
      <c r="H755" s="9" t="n">
        <v>1458</v>
      </c>
      <c r="I755" s="9" t="inlineStr">
        <is>
          <t>End-of-Rotation Starter (SP4-5)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</f>
        <v/>
      </c>
      <c r="AD755" s="15">
        <f>SUMPRODUCT(M755:X755,$M$6:$X$6)</f>
        <v/>
      </c>
      <c r="AE755" s="19" t="n"/>
    </row>
    <row r="756">
      <c r="A756" s="9" t="n">
        <v>596295</v>
      </c>
      <c r="B756" s="9" t="inlineStr">
        <is>
          <t>Austin Gomber</t>
        </is>
      </c>
      <c r="C756" s="9" t="inlineStr">
        <is>
          <t>COL</t>
        </is>
      </c>
      <c r="D756" s="9" t="n">
        <v>33</v>
      </c>
      <c r="E756" s="17" t="inlineStr">
        <is>
          <t>L</t>
        </is>
      </c>
      <c r="F756" s="17" t="n"/>
      <c r="G756" s="9" t="n">
        <v>272</v>
      </c>
      <c r="H756" s="9" t="n">
        <v>2100</v>
      </c>
      <c r="I756" s="9" t="inlineStr">
        <is>
          <t>Mid-Rotation Starter (SP2-3)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</f>
        <v/>
      </c>
      <c r="AD756" s="15">
        <f>SUMPRODUCT(M756:X756,$M$6:$X$6)</f>
        <v/>
      </c>
      <c r="AE756" s="19" t="n"/>
    </row>
    <row r="757">
      <c r="A757" s="9" t="n">
        <v>663765</v>
      </c>
      <c r="B757" s="9" t="inlineStr">
        <is>
          <t>Jake Woodford</t>
        </is>
      </c>
      <c r="C757" s="9" t="inlineStr">
        <is>
          <t>MIL</t>
        </is>
      </c>
      <c r="D757" s="9" t="n">
        <v>30</v>
      </c>
      <c r="E757" s="17" t="inlineStr">
        <is>
          <t>R</t>
        </is>
      </c>
      <c r="F757" s="17" t="n"/>
      <c r="G757" s="9" t="n">
        <v>112</v>
      </c>
      <c r="H757" s="9" t="n">
        <v>859</v>
      </c>
      <c r="I757" s="9" t="inlineStr">
        <is>
          <t>Bullpen Depth Arm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</f>
        <v/>
      </c>
      <c r="AD757" s="15">
        <f>SUMPRODUCT(M757:X757,$M$6:$X$6)</f>
        <v/>
      </c>
      <c r="AE757" s="19" t="n"/>
    </row>
    <row r="758">
      <c r="A758" s="9" t="n">
        <v>608372</v>
      </c>
      <c r="B758" s="9" t="inlineStr">
        <is>
          <t>Tomoyuki Sugano</t>
        </is>
      </c>
      <c r="C758" s="9" t="inlineStr">
        <is>
          <t>COL</t>
        </is>
      </c>
      <c r="D758" s="9" t="n">
        <v>37</v>
      </c>
      <c r="E758" s="17" t="inlineStr">
        <is>
          <t>R</t>
        </is>
      </c>
      <c r="F758" s="17" t="n"/>
      <c r="G758" s="9" t="n">
        <v>287</v>
      </c>
      <c r="H758" s="9" t="n">
        <v>962</v>
      </c>
      <c r="I758" s="9" t="inlineStr">
        <is>
          <t>Mid-Rotation Starter (SP2-3)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</f>
        <v/>
      </c>
      <c r="AD758" s="15">
        <f>SUMPRODUCT(M758:X758,$M$6:$X$6)</f>
        <v/>
      </c>
      <c r="AE758" s="19" t="n"/>
    </row>
    <row r="759">
      <c r="A759" s="9" t="n">
        <v>667463</v>
      </c>
      <c r="B759" s="9" t="inlineStr">
        <is>
          <t>John King</t>
        </is>
      </c>
      <c r="C759" s="9" t="inlineStr">
        <is>
          <t>MIA</t>
        </is>
      </c>
      <c r="D759" s="9" t="n">
        <v>32</v>
      </c>
      <c r="E759" s="17" t="inlineStr">
        <is>
          <t>L</t>
        </is>
      </c>
      <c r="F759" s="17" t="n"/>
      <c r="G759" s="9" t="n">
        <v>101</v>
      </c>
      <c r="H759" s="9" t="n">
        <v>950</v>
      </c>
      <c r="I759" s="9" t="inlineStr">
        <is>
          <t>Bullpen Depth Arm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</f>
        <v/>
      </c>
      <c r="AD759" s="15">
        <f>SUMPRODUCT(M759:X759,$M$6:$X$6)</f>
        <v/>
      </c>
      <c r="AE759" s="19" t="n"/>
    </row>
    <row r="760">
      <c r="A760" s="9" t="n">
        <v>570632</v>
      </c>
      <c r="B760" s="9" t="inlineStr">
        <is>
          <t>José Ureña</t>
        </is>
      </c>
      <c r="C760" s="9" t="inlineStr">
        <is>
          <t>LAA</t>
        </is>
      </c>
      <c r="D760" s="9" t="n">
        <v>35</v>
      </c>
      <c r="E760" s="17" t="inlineStr">
        <is>
          <t>R</t>
        </is>
      </c>
      <c r="F760" s="17" t="n"/>
      <c r="G760" s="9" t="n">
        <v>245</v>
      </c>
      <c r="H760" s="9" t="n">
        <v>1343</v>
      </c>
      <c r="I760" s="9" t="inlineStr">
        <is>
          <t>Bullpen Depth Arm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</f>
        <v/>
      </c>
      <c r="AD760" s="15">
        <f>SUMPRODUCT(M760:X760,$M$6:$X$6)</f>
        <v/>
      </c>
      <c r="AE760" s="19" t="n"/>
    </row>
    <row r="761">
      <c r="A761" s="9" t="n">
        <v>686799</v>
      </c>
      <c r="B761" s="9" t="inlineStr">
        <is>
          <t>Jack Kochanowicz</t>
        </is>
      </c>
      <c r="C761" s="9" t="inlineStr">
        <is>
          <t>LAA</t>
        </is>
      </c>
      <c r="D761" s="9" t="n">
        <v>26</v>
      </c>
      <c r="E761" s="17" t="inlineStr">
        <is>
          <t>R</t>
        </is>
      </c>
      <c r="F761" s="17" t="n"/>
      <c r="G761" s="9" t="n">
        <v>296</v>
      </c>
      <c r="H761" s="9" t="n">
        <v>1074</v>
      </c>
      <c r="I761" s="9" t="inlineStr">
        <is>
          <t>Mid-Rotation Starter (SP2-3)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</f>
        <v/>
      </c>
      <c r="AD761" s="15">
        <f>SUMPRODUCT(M761:X761,$M$6:$X$6)</f>
        <v/>
      </c>
      <c r="AE761" s="19" t="n"/>
    </row>
    <row r="762">
      <c r="A762" s="9" t="n">
        <v>622608</v>
      </c>
      <c r="B762" s="9" t="inlineStr">
        <is>
          <t>Antonio Senzatela</t>
        </is>
      </c>
      <c r="C762" s="9" t="inlineStr">
        <is>
          <t>COL</t>
        </is>
      </c>
      <c r="D762" s="9" t="n">
        <v>32</v>
      </c>
      <c r="E762" s="17" t="inlineStr">
        <is>
          <t>R</t>
        </is>
      </c>
      <c r="F762" s="17" t="n"/>
      <c r="G762" s="9" t="n">
        <v>145</v>
      </c>
      <c r="H762" s="9" t="n">
        <v>1260</v>
      </c>
      <c r="I762" s="9" t="inlineStr">
        <is>
          <t>End-of-Rotation Starter (SP4-5)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</f>
        <v/>
      </c>
      <c r="AD762" s="15">
        <f>SUMPRODUCT(M762:X762,$M$6:$X$6)</f>
        <v/>
      </c>
      <c r="AE762" s="19" t="n"/>
    </row>
    <row r="763">
      <c r="A763" s="9" t="n">
        <v>687134</v>
      </c>
      <c r="B763" s="9" t="inlineStr">
        <is>
          <t>Bradley Blalock</t>
        </is>
      </c>
      <c r="C763" s="9" t="inlineStr">
        <is>
          <t>COL</t>
        </is>
      </c>
      <c r="D763" s="9" t="n">
        <v>26</v>
      </c>
      <c r="E763" s="17" t="inlineStr">
        <is>
          <t>R</t>
        </is>
      </c>
      <c r="F763" s="17" t="n"/>
      <c r="G763" s="9" t="n">
        <v>275</v>
      </c>
      <c r="H763" s="9" t="n">
        <v>422</v>
      </c>
      <c r="I763" s="9" t="inlineStr">
        <is>
          <t>End-of-Rotation Starter (SP4-5)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</f>
        <v/>
      </c>
      <c r="AD763" s="15">
        <f>SUMPRODUCT(M763:X763,$M$6:$X$6)</f>
        <v/>
      </c>
      <c r="AE763" s="19" t="n"/>
    </row>
    <row r="764">
      <c r="A764" s="9" t="n">
        <v>657612</v>
      </c>
      <c r="B764" s="9" t="inlineStr">
        <is>
          <t>Tim Hill</t>
        </is>
      </c>
      <c r="C764" s="9" t="inlineStr">
        <is>
          <t>NYY</t>
        </is>
      </c>
      <c r="D764" s="9" t="n">
        <v>37</v>
      </c>
      <c r="E764" s="17" t="inlineStr">
        <is>
          <t>L</t>
        </is>
      </c>
      <c r="F764" s="17" t="n"/>
      <c r="G764" s="9" t="n">
        <v>111</v>
      </c>
      <c r="H764" s="9" t="n">
        <v>1072</v>
      </c>
      <c r="I764" s="9" t="inlineStr">
        <is>
          <t>Bullpen Depth Arm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</f>
        <v/>
      </c>
      <c r="AD764" s="15">
        <f>SUMPRODUCT(M764:X764,$M$6:$X$6)</f>
        <v/>
      </c>
      <c r="AE76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0.01</v>
      </c>
      <c r="G4" s="22" t="inlineStr">
        <is>
          <t>Shorter leash; occasional bullpen appearance.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0.01</v>
      </c>
      <c r="F6" s="21" t="n">
        <v>0.04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0.03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0.65</v>
      </c>
      <c r="F8" s="21" t="n">
        <v>0.05</v>
      </c>
      <c r="G8" s="22" t="inlineStr">
        <is>
          <t>Takes the large majority of the team's save pool. Note IP is NEARLY FLAT across bullpen roles — what differs is save and hold context, which is why these roles are worth separating.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0.12</v>
      </c>
      <c r="F9" s="21" t="n">
        <v>0.28</v>
      </c>
      <c r="G9" s="22" t="inlineStr">
        <is>
          <t>Primary hold earner; fills in for the closer.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0.04</v>
      </c>
      <c r="F10" s="21" t="n">
        <v>0.14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0.01</v>
      </c>
      <c r="F11" s="21" t="n">
        <v>0.05</v>
      </c>
      <c r="G11" s="22" t="inlineStr">
        <is>
          <t>Up and down from AAA; mop-up and spot duty.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0.02</v>
      </c>
      <c r="F12" s="21" t="n">
        <v>0.03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2026-09-17T17:04:24Z</dcterms:created>
  <dcterms:modified xsi:type="dcterms:W3CDTF">2026-09-17T17:04:25Z</dcterms:modified>
</cp:coreProperties>
</file>